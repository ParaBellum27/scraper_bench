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<sst xmlns="http://schemas.openxmlformats.org/spreadsheetml/2006/main" count="163" uniqueCount="159">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</sst>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0.2048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0.0128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0.0032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0.0156250000000499</v>
      </c>
    </row>
    <row r="32" customFormat="false" ht="15" hidden="false" customHeight="false" outlineLevel="0" collapsed="false">
      <c r="A32" s="0" t="n">
        <v>2</v>
      </c>
      <c r="B32" s="6" t="n">
        <v>0.0156250000000499</v>
      </c>
    </row>
    <row r="33" customFormat="false" ht="15" hidden="false" customHeight="false" outlineLevel="0" collapsed="false">
      <c r="A33" s="0" t="n">
        <v>3</v>
      </c>
      <c r="B33" s="6" t="n">
        <v>0.0156250000000499</v>
      </c>
    </row>
    <row r="34" customFormat="false" ht="15" hidden="false" customHeight="false" outlineLevel="0" collapsed="false">
      <c r="A34" s="0" t="n">
        <v>4</v>
      </c>
      <c r="B34" s="6" t="n">
        <v>0.0156250000000499</v>
      </c>
    </row>
    <row r="35" customFormat="false" ht="15" hidden="false" customHeight="false" outlineLevel="0" collapsed="false">
      <c r="A35" s="0" t="n">
        <v>5</v>
      </c>
      <c r="B35" s="6" t="n">
        <v>0.0156250000000499</v>
      </c>
    </row>
    <row r="36" customFormat="false" ht="15" hidden="false" customHeight="false" outlineLevel="0" collapsed="false">
      <c r="A36" s="0" t="n">
        <v>6</v>
      </c>
      <c r="B36" s="6" t="n">
        <v>0.0156250000000499</v>
      </c>
    </row>
    <row r="37" customFormat="false" ht="15" hidden="false" customHeight="false" outlineLevel="0" collapsed="false">
      <c r="A37" s="0" t="n">
        <v>7</v>
      </c>
      <c r="B37" s="6" t="n">
        <v>0.0156250000000499</v>
      </c>
    </row>
    <row r="38" customFormat="false" ht="15" hidden="false" customHeight="false" outlineLevel="0" collapsed="false">
      <c r="A38" s="0" t="n">
        <v>8</v>
      </c>
      <c r="B38" s="6" t="n">
        <v>0.0156250000000499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0.0512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0.0512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0.0512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0.0512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0.0512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0.0512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0.0512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0.0512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0.0512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0.0512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0.0512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0.0512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0.0512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0.0512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0.0512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0.0512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0.0512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0.0512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0.0512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0.0512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0.0512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0.0512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0.0512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0.0512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0.0512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0.0512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0.0512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0.0512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0.0512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0.0512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0.0512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0.0512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0.0512</v>
      </c>
      <c r="K5" s="8" t="n">
        <f aca="false">Inputs!B31</f>
        <v>0.0156250000000499</v>
      </c>
      <c r="L5" s="9" t="n">
        <f aca="false">Inputs!$B$9*(1+G5)</f>
        <v>0.2048</v>
      </c>
      <c r="M5" s="9" t="n">
        <f aca="false">L5*H5</f>
        <v>0.0768</v>
      </c>
      <c r="N5" s="9" t="n">
        <f aca="false">L5*I5</f>
        <v>0.0256</v>
      </c>
      <c r="O5" s="9" t="n">
        <f aca="false">M5-N5</f>
        <v>0.0512</v>
      </c>
      <c r="P5" s="8" t="n">
        <f aca="false">H5-I5</f>
        <v>0.25</v>
      </c>
      <c r="Q5" s="9" t="n">
        <f aca="false">L5*K5</f>
        <v>0.00320000000001021</v>
      </c>
      <c r="R5" s="9" t="n">
        <f aca="false">Q5-Inputs!$B$10</f>
        <v>0.00320000000001021</v>
      </c>
      <c r="S5" s="9" t="n">
        <f aca="false">J5*E5</f>
        <v>0.0510597260273973</v>
      </c>
      <c r="T5" s="9" t="n">
        <f aca="false">O5*E5</f>
        <v>0.0510597260273973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0.0512</v>
      </c>
      <c r="K6" s="8" t="n">
        <f aca="false">Inputs!B32</f>
        <v>0.0156250000000499</v>
      </c>
      <c r="L6" s="9" t="n">
        <f aca="false">L5*(1+G6)</f>
        <v>0.2048</v>
      </c>
      <c r="M6" s="9" t="n">
        <f aca="false">L6*H6</f>
        <v>0.0768</v>
      </c>
      <c r="N6" s="9" t="n">
        <f aca="false">L6*I6</f>
        <v>0.0256</v>
      </c>
      <c r="O6" s="9" t="n">
        <f aca="false">M6-N6</f>
        <v>0.0512</v>
      </c>
      <c r="P6" s="8" t="n">
        <f aca="false">H6-I6</f>
        <v>0.25</v>
      </c>
      <c r="Q6" s="9" t="n">
        <f aca="false">L6*K6</f>
        <v>0.00320000000001021</v>
      </c>
      <c r="R6" s="9" t="n">
        <f aca="false">Q6-Q5</f>
        <v>0</v>
      </c>
      <c r="S6" s="9" t="n">
        <f aca="false">J6*E6</f>
        <v>0.0512</v>
      </c>
      <c r="T6" s="9" t="n">
        <f aca="false">O6*E6</f>
        <v>0.0512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0.0512</v>
      </c>
      <c r="K7" s="8" t="n">
        <f aca="false">Inputs!B33</f>
        <v>0.0156250000000499</v>
      </c>
      <c r="L7" s="9" t="n">
        <f aca="false">L6*(1+G7)</f>
        <v>0.2048</v>
      </c>
      <c r="M7" s="9" t="n">
        <f aca="false">L7*H7</f>
        <v>0.0768</v>
      </c>
      <c r="N7" s="9" t="n">
        <f aca="false">L7*I7</f>
        <v>0.0256</v>
      </c>
      <c r="O7" s="9" t="n">
        <f aca="false">M7-N7</f>
        <v>0.0512</v>
      </c>
      <c r="P7" s="8" t="n">
        <f aca="false">H7-I7</f>
        <v>0.25</v>
      </c>
      <c r="Q7" s="9" t="n">
        <f aca="false">L7*K7</f>
        <v>0.00320000000001021</v>
      </c>
      <c r="R7" s="9" t="n">
        <f aca="false">Q7-Q6</f>
        <v>0</v>
      </c>
      <c r="S7" s="9" t="n">
        <f aca="false">J7*E7</f>
        <v>0.0512</v>
      </c>
      <c r="T7" s="9" t="n">
        <f aca="false">O7*E7</f>
        <v>0.0512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0.0512</v>
      </c>
      <c r="K8" s="8" t="n">
        <f aca="false">Inputs!B34</f>
        <v>0.0156250000000499</v>
      </c>
      <c r="L8" s="9" t="n">
        <f aca="false">L7*(1+G8)</f>
        <v>0.2048</v>
      </c>
      <c r="M8" s="9" t="n">
        <f aca="false">L8*H8</f>
        <v>0.0768</v>
      </c>
      <c r="N8" s="9" t="n">
        <f aca="false">L8*I8</f>
        <v>0.0256</v>
      </c>
      <c r="O8" s="9" t="n">
        <f aca="false">M8-N8</f>
        <v>0.0512</v>
      </c>
      <c r="P8" s="8" t="n">
        <f aca="false">H8-I8</f>
        <v>0.25</v>
      </c>
      <c r="Q8" s="9" t="n">
        <f aca="false">L8*K8</f>
        <v>0.00320000000001021</v>
      </c>
      <c r="R8" s="9" t="n">
        <f aca="false">Q8-Q7</f>
        <v>0</v>
      </c>
      <c r="S8" s="9" t="n">
        <f aca="false">J8*E8</f>
        <v>0.0512</v>
      </c>
      <c r="T8" s="9" t="n">
        <f aca="false">O8*E8</f>
        <v>0.0512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0.0512</v>
      </c>
      <c r="K9" s="8" t="n">
        <f aca="false">Inputs!B35</f>
        <v>0.0156250000000499</v>
      </c>
      <c r="L9" s="9" t="n">
        <f aca="false">L8*(1+G9)</f>
        <v>0.2048</v>
      </c>
      <c r="M9" s="9" t="n">
        <f aca="false">L9*H9</f>
        <v>0.0768</v>
      </c>
      <c r="N9" s="9" t="n">
        <f aca="false">L9*I9</f>
        <v>0.0256</v>
      </c>
      <c r="O9" s="9" t="n">
        <f aca="false">M9-N9</f>
        <v>0.0512</v>
      </c>
      <c r="P9" s="8" t="n">
        <f aca="false">H9-I9</f>
        <v>0.25</v>
      </c>
      <c r="Q9" s="9" t="n">
        <f aca="false">L9*K9</f>
        <v>0.00320000000001021</v>
      </c>
      <c r="R9" s="9" t="n">
        <f aca="false">Q9-Q8</f>
        <v>0</v>
      </c>
      <c r="S9" s="9" t="n">
        <f aca="false">J9*E9</f>
        <v>0.0512</v>
      </c>
      <c r="T9" s="9" t="n">
        <f aca="false">O9*E9</f>
        <v>0.0512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0.0512</v>
      </c>
      <c r="K10" s="8" t="n">
        <f aca="false">Inputs!B36</f>
        <v>0.0156250000000499</v>
      </c>
      <c r="L10" s="9" t="n">
        <f aca="false">L9*(1+G10)</f>
        <v>0.2048</v>
      </c>
      <c r="M10" s="9" t="n">
        <f aca="false">L10*H10</f>
        <v>0.0768</v>
      </c>
      <c r="N10" s="9" t="n">
        <f aca="false">L10*I10</f>
        <v>0.0256</v>
      </c>
      <c r="O10" s="9" t="n">
        <f aca="false">M10-N10</f>
        <v>0.0512</v>
      </c>
      <c r="P10" s="8" t="n">
        <f aca="false">H10-I10</f>
        <v>0.25</v>
      </c>
      <c r="Q10" s="9" t="n">
        <f aca="false">L10*K10</f>
        <v>0.00320000000001021</v>
      </c>
      <c r="R10" s="9" t="n">
        <f aca="false">Q10-Q9</f>
        <v>0</v>
      </c>
      <c r="S10" s="9" t="n">
        <f aca="false">J10*E10</f>
        <v>0.0512</v>
      </c>
      <c r="T10" s="9" t="n">
        <f aca="false">O10*E10</f>
        <v>0.0512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0.0512</v>
      </c>
      <c r="K11" s="8" t="n">
        <f aca="false">Inputs!B37</f>
        <v>0.0156250000000499</v>
      </c>
      <c r="L11" s="9" t="n">
        <f aca="false">L10*(1+G11)</f>
        <v>0.2048</v>
      </c>
      <c r="M11" s="9" t="n">
        <f aca="false">L11*H11</f>
        <v>0.0768</v>
      </c>
      <c r="N11" s="9" t="n">
        <f aca="false">L11*I11</f>
        <v>0.0256</v>
      </c>
      <c r="O11" s="9" t="n">
        <f aca="false">M11-N11</f>
        <v>0.0512</v>
      </c>
      <c r="P11" s="8" t="n">
        <f aca="false">H11-I11</f>
        <v>0.25</v>
      </c>
      <c r="Q11" s="9" t="n">
        <f aca="false">L11*K11</f>
        <v>0.00320000000001021</v>
      </c>
      <c r="R11" s="9" t="n">
        <f aca="false">Q11-Q10</f>
        <v>0</v>
      </c>
      <c r="S11" s="9" t="n">
        <f aca="false">J11*E11</f>
        <v>0.0512</v>
      </c>
      <c r="T11" s="9" t="n">
        <f aca="false">O11*E11</f>
        <v>0.0512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0.0512</v>
      </c>
      <c r="K12" s="8" t="n">
        <f aca="false">Inputs!B38</f>
        <v>0.0156250000000499</v>
      </c>
      <c r="L12" s="9" t="n">
        <f aca="false">L11*(1+G12)</f>
        <v>0.2048</v>
      </c>
      <c r="M12" s="9" t="n">
        <f aca="false">L12*H12</f>
        <v>0.0768</v>
      </c>
      <c r="N12" s="9" t="n">
        <f aca="false">L12*I12</f>
        <v>0.0256</v>
      </c>
      <c r="O12" s="9" t="n">
        <f aca="false">M12-N12</f>
        <v>0.0512</v>
      </c>
      <c r="P12" s="8" t="n">
        <f aca="false">H12-I12</f>
        <v>0.25</v>
      </c>
      <c r="Q12" s="9" t="n">
        <f aca="false">L12*K12</f>
        <v>0.00320000000001021</v>
      </c>
      <c r="R12" s="9" t="n">
        <f aca="false">Q12-Q11</f>
        <v>0</v>
      </c>
      <c r="S12" s="9" t="n">
        <f aca="false">J12*E12</f>
        <v>0.0512</v>
      </c>
      <c r="T12" s="9" t="n">
        <f aca="false">O12*E12</f>
        <v>0.0512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0.0128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-0.00320000000001021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-0.00320000000001021</v>
      </c>
      <c r="O5" s="9" t="n">
        <f aca="false">IF(B5,MAX(L5+M5-N5,0),"")</f>
        <v>0.00320000000001021</v>
      </c>
      <c r="P5" s="9" t="n">
        <f aca="false">IF(B5,IF(A5&lt;Inputs!$B$26,MAX(Inputs!$B$24-D5,0),0),"")</f>
        <v>0.0032</v>
      </c>
      <c r="Q5" s="9" t="n">
        <f aca="false">IF(B5,MAX(O5-P5,0),"")</f>
        <v>1.02110160604685E-014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0.0032</v>
      </c>
      <c r="T5" s="9" t="n">
        <f aca="false">IF(R5="ok",MAX(N5+S5-L5-M5,0),"")</f>
        <v>0</v>
      </c>
      <c r="U5" s="9" t="n">
        <f aca="false">IF(R5="ok",D5+S5-M5,"")</f>
        <v>0.0032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0.0128</v>
      </c>
      <c r="AA5" s="9" t="n">
        <f aca="false">IF(R5="ok",U5-V5,"")</f>
        <v>0.0032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0.0512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0.1024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0.0896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0.0448</v>
      </c>
    </row>
    <row r="9" customFormat="false" ht="15" hidden="false" customHeight="false" outlineLevel="0" collapsed="false">
      <c r="A9" s="0" t="s">
        <v>125</v>
      </c>
      <c r="B9" s="9" t="n">
        <f aca="false">B7-B8</f>
        <v>0.0448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0.07616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0.01344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0.1024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0.016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0.0864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0.0864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0.0448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0.0448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0.0416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0.07392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0.01248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0.964285714285714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0.970588235294118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0.928571428571429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-0.0358106237580033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-0.029491362911059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-0.071617603134493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-0.0896</v>
      </c>
      <c r="D44" s="9" t="n">
        <f aca="false">-B10</f>
        <v>-0.07616</v>
      </c>
      <c r="E44" s="9" t="n">
        <f aca="false">-B11</f>
        <v>-0.01344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0.0864</v>
      </c>
      <c r="D45" s="9" t="n">
        <f aca="false">IF($B$16="ok",B30,"")</f>
        <v>0.07392</v>
      </c>
      <c r="E45" s="9" t="n">
        <f aca="false">IF($B$16="ok",B31,"")</f>
        <v>0.01248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2026-10-05T06:17:10Z</dcterms:created>
  <dc:creator>Pierre LBO One</dc:creator>
  <dc:description>Explicit Excel formulas; GBP thousands; ACT/365 interest.</dc:description>
  <dc:language>en-GB</dc:language>
  <cp:lastModifiedBy/>
  <dcterms:modified xsi:type="dcterms:W3CDTF">2026-10-05T06:17:10Z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