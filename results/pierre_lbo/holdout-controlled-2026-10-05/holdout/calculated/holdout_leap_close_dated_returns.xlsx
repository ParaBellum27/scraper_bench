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<sst xmlns="http://schemas.openxmlformats.org/spreadsheetml/2006/main" count="163" uniqueCount="159">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</sst>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48121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48273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3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48121</v>
      </c>
      <c r="C5" s="7" t="n">
        <f aca="false">EDATE(B5,12)</f>
        <v>48487</v>
      </c>
      <c r="D5" s="7" t="n">
        <f aca="false">MAX(B5,Inputs!$B$7)</f>
        <v>48273</v>
      </c>
      <c r="E5" s="8" t="n">
        <f aca="false">(C5-D5)/(C5-B5)</f>
        <v>0.584699453551913</v>
      </c>
      <c r="F5" s="8" t="n">
        <f aca="false">(C5-D5)/365</f>
        <v>0.586301369863014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299.366120218579</v>
      </c>
      <c r="T5" s="9" t="n">
        <f aca="false">O5*E5</f>
        <v>299.366120218579</v>
      </c>
    </row>
    <row r="6" customFormat="false" ht="15" hidden="false" customHeight="false" outlineLevel="0" collapsed="false">
      <c r="A6" s="0" t="n">
        <v>2</v>
      </c>
      <c r="B6" s="7" t="n">
        <f aca="false">C5</f>
        <v>48487</v>
      </c>
      <c r="C6" s="7" t="n">
        <f aca="false">EDATE(B6,12)</f>
        <v>48852</v>
      </c>
      <c r="D6" s="7" t="n">
        <f aca="false">MAX(B6,Inputs!$B$7)</f>
        <v>48487</v>
      </c>
      <c r="E6" s="8" t="n">
        <f aca="false">(C6-D6)/(C6-B6)</f>
        <v>1</v>
      </c>
      <c r="F6" s="8" t="n">
        <f aca="false">(C6-D6)/365</f>
        <v>1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48852</v>
      </c>
      <c r="C7" s="7" t="n">
        <f aca="false">EDATE(B7,12)</f>
        <v>49217</v>
      </c>
      <c r="D7" s="7" t="n">
        <f aca="false">MAX(B7,Inputs!$B$7)</f>
        <v>48852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49217</v>
      </c>
      <c r="C8" s="7" t="n">
        <f aca="false">EDATE(B8,12)</f>
        <v>49582</v>
      </c>
      <c r="D8" s="7" t="n">
        <f aca="false">MAX(B8,Inputs!$B$7)</f>
        <v>49217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49582</v>
      </c>
      <c r="C9" s="7" t="n">
        <f aca="false">EDATE(B9,12)</f>
        <v>49948</v>
      </c>
      <c r="D9" s="7" t="n">
        <f aca="false">MAX(B9,Inputs!$B$7)</f>
        <v>49582</v>
      </c>
      <c r="E9" s="8" t="n">
        <f aca="false">(C9-D9)/(C9-B9)</f>
        <v>1</v>
      </c>
      <c r="F9" s="8" t="n">
        <f aca="false">(C9-D9)/365</f>
        <v>1.0027397260274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49948</v>
      </c>
      <c r="C10" s="7" t="n">
        <f aca="false">EDATE(B10,12)</f>
        <v>50313</v>
      </c>
      <c r="D10" s="7" t="n">
        <f aca="false">MAX(B10,Inputs!$B$7)</f>
        <v>49948</v>
      </c>
      <c r="E10" s="8" t="n">
        <f aca="false">(C10-D10)/(C10-B10)</f>
        <v>1</v>
      </c>
      <c r="F10" s="8" t="n">
        <f aca="false">(C10-D10)/365</f>
        <v>1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50313</v>
      </c>
      <c r="C11" s="7" t="n">
        <f aca="false">EDATE(B11,12)</f>
        <v>50678</v>
      </c>
      <c r="D11" s="7" t="n">
        <f aca="false">MAX(B11,Inputs!$B$7)</f>
        <v>50313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50678</v>
      </c>
      <c r="C12" s="7" t="n">
        <f aca="false">EDATE(B12,12)</f>
        <v>51043</v>
      </c>
      <c r="D12" s="7" t="n">
        <f aca="false">MAX(B12,Inputs!$B$7)</f>
        <v>50678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48487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0.586301369863014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1536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1408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1408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960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1120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288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1.57142857142857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1.47058823529412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2.14285714285714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1.16173082001395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0.930518868815751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2.66897294357814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48273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48487</v>
      </c>
      <c r="C45" s="9" t="n">
        <f aca="false">IF($B$16="ok",B25,"")</f>
        <v>1408</v>
      </c>
      <c r="D45" s="9" t="n">
        <f aca="false">IF($B$16="ok",B30,"")</f>
        <v>1120</v>
      </c>
      <c r="E45" s="9" t="n">
        <f aca="false">IF($B$16="ok",B31,"")</f>
        <v>288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2026-10-05T06:17:37Z</dcterms:created>
  <dc:creator>Pierre LBO One</dc:creator>
  <dc:description>Explicit Excel formulas; GBP thousands; ACT/365 interest.</dc:description>
  <dc:language>en-GB</dc:language>
  <cp:lastModifiedBy/>
  <dcterms:modified xsi:type="dcterms:W3CDTF">2026-10-05T06:17:37Z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