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<sst xmlns="http://schemas.openxmlformats.org/spreadsheetml/2006/main" count="163" uniqueCount="159">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</sst>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45351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45580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5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2048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2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128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192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</v>
      </c>
    </row>
    <row r="32" customFormat="false" ht="15" hidden="false" customHeight="false" outlineLevel="0" collapsed="false">
      <c r="A32" s="0" t="n">
        <v>2</v>
      </c>
      <c r="B32" s="6" t="n">
        <v>0</v>
      </c>
    </row>
    <row r="33" customFormat="false" ht="15" hidden="false" customHeight="false" outlineLevel="0" collapsed="false">
      <c r="A33" s="0" t="n">
        <v>3</v>
      </c>
      <c r="B33" s="6" t="n">
        <v>0</v>
      </c>
    </row>
    <row r="34" customFormat="false" ht="15" hidden="false" customHeight="false" outlineLevel="0" collapsed="false">
      <c r="A34" s="0" t="n">
        <v>4</v>
      </c>
      <c r="B34" s="6" t="n">
        <v>0</v>
      </c>
    </row>
    <row r="35" customFormat="false" ht="15" hidden="false" customHeight="false" outlineLevel="0" collapsed="false">
      <c r="A35" s="0" t="n">
        <v>5</v>
      </c>
      <c r="B35" s="6" t="n">
        <v>0</v>
      </c>
    </row>
    <row r="36" customFormat="false" ht="15" hidden="false" customHeight="false" outlineLevel="0" collapsed="false">
      <c r="A36" s="0" t="n">
        <v>6</v>
      </c>
      <c r="B36" s="6" t="n">
        <v>0</v>
      </c>
    </row>
    <row r="37" customFormat="false" ht="15" hidden="false" customHeight="false" outlineLevel="0" collapsed="false">
      <c r="A37" s="0" t="n">
        <v>7</v>
      </c>
      <c r="B37" s="6" t="n">
        <v>0</v>
      </c>
    </row>
    <row r="38" customFormat="false" ht="15" hidden="false" customHeight="false" outlineLevel="0" collapsed="false">
      <c r="A38" s="0" t="n">
        <v>8</v>
      </c>
      <c r="B38" s="6" t="n">
        <v>0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45351</v>
      </c>
      <c r="C5" s="7" t="n">
        <f aca="false">EDATE(B5,12)</f>
        <v>45716</v>
      </c>
      <c r="D5" s="7" t="n">
        <f aca="false">MAX(B5,Inputs!$B$7)</f>
        <v>45580</v>
      </c>
      <c r="E5" s="8" t="n">
        <f aca="false">(C5-D5)/(C5-B5)</f>
        <v>0.372602739726027</v>
      </c>
      <c r="F5" s="8" t="n">
        <f aca="false">(C5-D5)/365</f>
        <v>0.372602739726027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512</v>
      </c>
      <c r="K5" s="8" t="n">
        <f aca="false">Inputs!B31</f>
        <v>0</v>
      </c>
      <c r="L5" s="9" t="n">
        <f aca="false">Inputs!$B$9*(1+G5)</f>
        <v>2048</v>
      </c>
      <c r="M5" s="9" t="n">
        <f aca="false">L5*H5</f>
        <v>768</v>
      </c>
      <c r="N5" s="9" t="n">
        <f aca="false">L5*I5</f>
        <v>256</v>
      </c>
      <c r="O5" s="9" t="n">
        <f aca="false">M5-N5</f>
        <v>512</v>
      </c>
      <c r="P5" s="8" t="n">
        <f aca="false">H5-I5</f>
        <v>0.25</v>
      </c>
      <c r="Q5" s="9" t="n">
        <f aca="false">L5*K5</f>
        <v>0</v>
      </c>
      <c r="R5" s="9" t="n">
        <f aca="false">Q5-Inputs!$B$10</f>
        <v>0</v>
      </c>
      <c r="S5" s="9" t="n">
        <f aca="false">J5*E5</f>
        <v>190.772602739726</v>
      </c>
      <c r="T5" s="9" t="n">
        <f aca="false">O5*E5</f>
        <v>190.772602739726</v>
      </c>
    </row>
    <row r="6" customFormat="false" ht="15" hidden="false" customHeight="false" outlineLevel="0" collapsed="false">
      <c r="A6" s="0" t="n">
        <v>2</v>
      </c>
      <c r="B6" s="7" t="n">
        <f aca="false">C5</f>
        <v>45716</v>
      </c>
      <c r="C6" s="7" t="n">
        <f aca="false">EDATE(B6,12)</f>
        <v>46081</v>
      </c>
      <c r="D6" s="7" t="n">
        <f aca="false">MAX(B6,Inputs!$B$7)</f>
        <v>45716</v>
      </c>
      <c r="E6" s="8" t="n">
        <f aca="false">(C6-D6)/(C6-B6)</f>
        <v>1</v>
      </c>
      <c r="F6" s="8" t="n">
        <f aca="false">(C6-D6)/365</f>
        <v>1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512</v>
      </c>
      <c r="K6" s="8" t="n">
        <f aca="false">Inputs!B32</f>
        <v>0</v>
      </c>
      <c r="L6" s="9" t="n">
        <f aca="false">L5*(1+G6)</f>
        <v>2048</v>
      </c>
      <c r="M6" s="9" t="n">
        <f aca="false">L6*H6</f>
        <v>768</v>
      </c>
      <c r="N6" s="9" t="n">
        <f aca="false">L6*I6</f>
        <v>256</v>
      </c>
      <c r="O6" s="9" t="n">
        <f aca="false">M6-N6</f>
        <v>512</v>
      </c>
      <c r="P6" s="8" t="n">
        <f aca="false">H6-I6</f>
        <v>0.25</v>
      </c>
      <c r="Q6" s="9" t="n">
        <f aca="false">L6*K6</f>
        <v>0</v>
      </c>
      <c r="R6" s="9" t="n">
        <f aca="false">Q6-Q5</f>
        <v>0</v>
      </c>
      <c r="S6" s="9" t="n">
        <f aca="false">J6*E6</f>
        <v>512</v>
      </c>
      <c r="T6" s="9" t="n">
        <f aca="false">O6*E6</f>
        <v>512</v>
      </c>
    </row>
    <row r="7" customFormat="false" ht="15" hidden="false" customHeight="false" outlineLevel="0" collapsed="false">
      <c r="A7" s="0" t="n">
        <v>3</v>
      </c>
      <c r="B7" s="7" t="n">
        <f aca="false">C6</f>
        <v>46081</v>
      </c>
      <c r="C7" s="7" t="n">
        <f aca="false">EDATE(B7,12)</f>
        <v>46446</v>
      </c>
      <c r="D7" s="7" t="n">
        <f aca="false">MAX(B7,Inputs!$B$7)</f>
        <v>46081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512</v>
      </c>
      <c r="K7" s="8" t="n">
        <f aca="false">Inputs!B33</f>
        <v>0</v>
      </c>
      <c r="L7" s="9" t="n">
        <f aca="false">L6*(1+G7)</f>
        <v>2048</v>
      </c>
      <c r="M7" s="9" t="n">
        <f aca="false">L7*H7</f>
        <v>768</v>
      </c>
      <c r="N7" s="9" t="n">
        <f aca="false">L7*I7</f>
        <v>256</v>
      </c>
      <c r="O7" s="9" t="n">
        <f aca="false">M7-N7</f>
        <v>512</v>
      </c>
      <c r="P7" s="8" t="n">
        <f aca="false">H7-I7</f>
        <v>0.25</v>
      </c>
      <c r="Q7" s="9" t="n">
        <f aca="false">L7*K7</f>
        <v>0</v>
      </c>
      <c r="R7" s="9" t="n">
        <f aca="false">Q7-Q6</f>
        <v>0</v>
      </c>
      <c r="S7" s="9" t="n">
        <f aca="false">J7*E7</f>
        <v>512</v>
      </c>
      <c r="T7" s="9" t="n">
        <f aca="false">O7*E7</f>
        <v>512</v>
      </c>
    </row>
    <row r="8" customFormat="false" ht="15" hidden="false" customHeight="false" outlineLevel="0" collapsed="false">
      <c r="A8" s="0" t="n">
        <v>4</v>
      </c>
      <c r="B8" s="7" t="n">
        <f aca="false">C7</f>
        <v>46446</v>
      </c>
      <c r="C8" s="7" t="n">
        <f aca="false">EDATE(B8,12)</f>
        <v>46811</v>
      </c>
      <c r="D8" s="7" t="n">
        <f aca="false">MAX(B8,Inputs!$B$7)</f>
        <v>46446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512</v>
      </c>
      <c r="K8" s="8" t="n">
        <f aca="false">Inputs!B34</f>
        <v>0</v>
      </c>
      <c r="L8" s="9" t="n">
        <f aca="false">L7*(1+G8)</f>
        <v>2048</v>
      </c>
      <c r="M8" s="9" t="n">
        <f aca="false">L8*H8</f>
        <v>768</v>
      </c>
      <c r="N8" s="9" t="n">
        <f aca="false">L8*I8</f>
        <v>256</v>
      </c>
      <c r="O8" s="9" t="n">
        <f aca="false">M8-N8</f>
        <v>512</v>
      </c>
      <c r="P8" s="8" t="n">
        <f aca="false">H8-I8</f>
        <v>0.25</v>
      </c>
      <c r="Q8" s="9" t="n">
        <f aca="false">L8*K8</f>
        <v>0</v>
      </c>
      <c r="R8" s="9" t="n">
        <f aca="false">Q8-Q7</f>
        <v>0</v>
      </c>
      <c r="S8" s="9" t="n">
        <f aca="false">J8*E8</f>
        <v>512</v>
      </c>
      <c r="T8" s="9" t="n">
        <f aca="false">O8*E8</f>
        <v>512</v>
      </c>
    </row>
    <row r="9" customFormat="false" ht="15" hidden="false" customHeight="false" outlineLevel="0" collapsed="false">
      <c r="A9" s="0" t="n">
        <v>5</v>
      </c>
      <c r="B9" s="7" t="n">
        <f aca="false">C8</f>
        <v>46811</v>
      </c>
      <c r="C9" s="7" t="n">
        <f aca="false">EDATE(B9,12)</f>
        <v>47177</v>
      </c>
      <c r="D9" s="7" t="n">
        <f aca="false">MAX(B9,Inputs!$B$7)</f>
        <v>46811</v>
      </c>
      <c r="E9" s="8" t="n">
        <f aca="false">(C9-D9)/(C9-B9)</f>
        <v>1</v>
      </c>
      <c r="F9" s="8" t="n">
        <f aca="false">(C9-D9)/365</f>
        <v>1.0027397260274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512</v>
      </c>
      <c r="K9" s="8" t="n">
        <f aca="false">Inputs!B35</f>
        <v>0</v>
      </c>
      <c r="L9" s="9" t="n">
        <f aca="false">L8*(1+G9)</f>
        <v>2048</v>
      </c>
      <c r="M9" s="9" t="n">
        <f aca="false">L9*H9</f>
        <v>768</v>
      </c>
      <c r="N9" s="9" t="n">
        <f aca="false">L9*I9</f>
        <v>256</v>
      </c>
      <c r="O9" s="9" t="n">
        <f aca="false">M9-N9</f>
        <v>512</v>
      </c>
      <c r="P9" s="8" t="n">
        <f aca="false">H9-I9</f>
        <v>0.25</v>
      </c>
      <c r="Q9" s="9" t="n">
        <f aca="false">L9*K9</f>
        <v>0</v>
      </c>
      <c r="R9" s="9" t="n">
        <f aca="false">Q9-Q8</f>
        <v>0</v>
      </c>
      <c r="S9" s="9" t="n">
        <f aca="false">J9*E9</f>
        <v>512</v>
      </c>
      <c r="T9" s="9" t="n">
        <f aca="false">O9*E9</f>
        <v>512</v>
      </c>
    </row>
    <row r="10" customFormat="false" ht="15" hidden="false" customHeight="false" outlineLevel="0" collapsed="false">
      <c r="A10" s="0" t="n">
        <v>6</v>
      </c>
      <c r="B10" s="7" t="n">
        <f aca="false">C9</f>
        <v>47177</v>
      </c>
      <c r="C10" s="7" t="n">
        <f aca="false">EDATE(B10,12)</f>
        <v>47542</v>
      </c>
      <c r="D10" s="7" t="n">
        <f aca="false">MAX(B10,Inputs!$B$7)</f>
        <v>47177</v>
      </c>
      <c r="E10" s="8" t="n">
        <f aca="false">(C10-D10)/(C10-B10)</f>
        <v>1</v>
      </c>
      <c r="F10" s="8" t="n">
        <f aca="false">(C10-D10)/365</f>
        <v>1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512</v>
      </c>
      <c r="K10" s="8" t="n">
        <f aca="false">Inputs!B36</f>
        <v>0</v>
      </c>
      <c r="L10" s="9" t="n">
        <f aca="false">L9*(1+G10)</f>
        <v>2048</v>
      </c>
      <c r="M10" s="9" t="n">
        <f aca="false">L10*H10</f>
        <v>768</v>
      </c>
      <c r="N10" s="9" t="n">
        <f aca="false">L10*I10</f>
        <v>256</v>
      </c>
      <c r="O10" s="9" t="n">
        <f aca="false">M10-N10</f>
        <v>512</v>
      </c>
      <c r="P10" s="8" t="n">
        <f aca="false">H10-I10</f>
        <v>0.25</v>
      </c>
      <c r="Q10" s="9" t="n">
        <f aca="false">L10*K10</f>
        <v>0</v>
      </c>
      <c r="R10" s="9" t="n">
        <f aca="false">Q10-Q9</f>
        <v>0</v>
      </c>
      <c r="S10" s="9" t="n">
        <f aca="false">J10*E10</f>
        <v>512</v>
      </c>
      <c r="T10" s="9" t="n">
        <f aca="false">O10*E10</f>
        <v>512</v>
      </c>
    </row>
    <row r="11" customFormat="false" ht="15" hidden="false" customHeight="false" outlineLevel="0" collapsed="false">
      <c r="A11" s="0" t="n">
        <v>7</v>
      </c>
      <c r="B11" s="7" t="n">
        <f aca="false">C10</f>
        <v>47542</v>
      </c>
      <c r="C11" s="7" t="n">
        <f aca="false">EDATE(B11,12)</f>
        <v>47907</v>
      </c>
      <c r="D11" s="7" t="n">
        <f aca="false">MAX(B11,Inputs!$B$7)</f>
        <v>47542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512</v>
      </c>
      <c r="K11" s="8" t="n">
        <f aca="false">Inputs!B37</f>
        <v>0</v>
      </c>
      <c r="L11" s="9" t="n">
        <f aca="false">L10*(1+G11)</f>
        <v>2048</v>
      </c>
      <c r="M11" s="9" t="n">
        <f aca="false">L11*H11</f>
        <v>768</v>
      </c>
      <c r="N11" s="9" t="n">
        <f aca="false">L11*I11</f>
        <v>256</v>
      </c>
      <c r="O11" s="9" t="n">
        <f aca="false">M11-N11</f>
        <v>512</v>
      </c>
      <c r="P11" s="8" t="n">
        <f aca="false">H11-I11</f>
        <v>0.25</v>
      </c>
      <c r="Q11" s="9" t="n">
        <f aca="false">L11*K11</f>
        <v>0</v>
      </c>
      <c r="R11" s="9" t="n">
        <f aca="false">Q11-Q10</f>
        <v>0</v>
      </c>
      <c r="S11" s="9" t="n">
        <f aca="false">J11*E11</f>
        <v>512</v>
      </c>
      <c r="T11" s="9" t="n">
        <f aca="false">O11*E11</f>
        <v>512</v>
      </c>
    </row>
    <row r="12" customFormat="false" ht="15" hidden="false" customHeight="false" outlineLevel="0" collapsed="false">
      <c r="A12" s="0" t="n">
        <v>8</v>
      </c>
      <c r="B12" s="7" t="n">
        <f aca="false">C11</f>
        <v>47907</v>
      </c>
      <c r="C12" s="7" t="n">
        <f aca="false">EDATE(B12,12)</f>
        <v>48272</v>
      </c>
      <c r="D12" s="7" t="n">
        <f aca="false">MAX(B12,Inputs!$B$7)</f>
        <v>47907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512</v>
      </c>
      <c r="K12" s="8" t="n">
        <f aca="false">Inputs!B38</f>
        <v>0</v>
      </c>
      <c r="L12" s="9" t="n">
        <f aca="false">L11*(1+G12)</f>
        <v>2048</v>
      </c>
      <c r="M12" s="9" t="n">
        <f aca="false">L12*H12</f>
        <v>768</v>
      </c>
      <c r="N12" s="9" t="n">
        <f aca="false">L12*I12</f>
        <v>256</v>
      </c>
      <c r="O12" s="9" t="n">
        <f aca="false">M12-N12</f>
        <v>512</v>
      </c>
      <c r="P12" s="8" t="n">
        <f aca="false">H12-I12</f>
        <v>0.25</v>
      </c>
      <c r="Q12" s="9" t="n">
        <f aca="false">L12*K12</f>
        <v>0</v>
      </c>
      <c r="R12" s="9" t="n">
        <f aca="false">Q12-Q11</f>
        <v>0</v>
      </c>
      <c r="S12" s="9" t="n">
        <f aca="false">J12*E12</f>
        <v>512</v>
      </c>
      <c r="T12" s="9" t="n">
        <f aca="false">O12*E12</f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128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0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0</v>
      </c>
      <c r="O5" s="9" t="n">
        <f aca="false">IF(B5,MAX(L5+M5-N5,0),"")</f>
        <v>0</v>
      </c>
      <c r="P5" s="9" t="n">
        <f aca="false">IF(B5,IF(A5&lt;Inputs!$B$26,MAX(Inputs!$B$24-D5,0),0),"")</f>
        <v>192</v>
      </c>
      <c r="Q5" s="9" t="n">
        <f aca="false">IF(B5,MAX(O5-P5,0),"")</f>
        <v>0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0</v>
      </c>
      <c r="T5" s="9" t="n">
        <f aca="false">IF(R5="ok",MAX(N5+S5-L5-M5,0),"")</f>
        <v>0</v>
      </c>
      <c r="U5" s="9" t="n">
        <f aca="false">IF(R5="ok",D5+S5-M5,"")</f>
        <v>0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0</v>
      </c>
      <c r="Y5" s="9" t="n">
        <f aca="false">IF(R5="ok",MIN(X5*Inputs!$B$22,C5+I5-L5),"")</f>
        <v>0</v>
      </c>
      <c r="Z5" s="9" t="n">
        <f aca="false">IF(R5="ok",C5+I5-L5-Y5,"")</f>
        <v>128</v>
      </c>
      <c r="AA5" s="9" t="n">
        <f aca="false">IF(R5="ok",U5-V5,"")</f>
        <v>0</v>
      </c>
      <c r="AB5" s="9" t="n">
        <f aca="false">IF(R5="ok",X5-Y5,"")</f>
        <v>0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1</v>
      </c>
      <c r="C6" s="9" t="n">
        <f aca="false">IF(B6,Z5,"")</f>
        <v>128</v>
      </c>
      <c r="D6" s="9" t="n">
        <f aca="false">IF(B6,AA5,"")</f>
        <v>0</v>
      </c>
      <c r="E6" s="9" t="n">
        <f aca="false">IF(B6,AB5,"")</f>
        <v>0</v>
      </c>
      <c r="F6" s="9" t="n">
        <f aca="false">IF(B6,C6*Inputs!$B$19*Forecast!F6,"")</f>
        <v>0</v>
      </c>
      <c r="G6" s="9" t="n">
        <f aca="false">IF(B6,D6*Inputs!$B$25*Forecast!F6,"")</f>
        <v>0</v>
      </c>
      <c r="H6" s="9" t="n">
        <f aca="false">IF(B6,F6+G6,"")</f>
        <v>0</v>
      </c>
      <c r="I6" s="9" t="n">
        <f aca="false">IF(B6,C6*Inputs!$B$20*Forecast!F6,"")</f>
        <v>0</v>
      </c>
      <c r="J6" s="9" t="n">
        <f aca="false">IF(B6,MAX(Forecast!T6-H6,0)*Inputs!$B$14,"")</f>
        <v>0</v>
      </c>
      <c r="K6" s="9" t="n">
        <f aca="false">IF(B6,Forecast!T6-Forecast!S6-Forecast!R6-J6,"")</f>
        <v>0</v>
      </c>
      <c r="L6" s="9" t="n">
        <f aca="false">IF(B6,IF(A6&gt;=Inputs!$B$23,C6+I6,MIN(C6+I6,Inputs!$B$18*Inputs!$B$21*Forecast!E6)),"")</f>
        <v>0</v>
      </c>
      <c r="M6" s="9" t="n">
        <f aca="false">IF(B6,IF(A6&gt;=Inputs!$B$26,D6,0),"")</f>
        <v>0</v>
      </c>
      <c r="N6" s="9" t="n">
        <f aca="false">IF(B6,E6+K6-H6,"")</f>
        <v>0</v>
      </c>
      <c r="O6" s="9" t="n">
        <f aca="false">IF(B6,MAX(L6+M6-N6,0),"")</f>
        <v>0</v>
      </c>
      <c r="P6" s="9" t="n">
        <f aca="false">IF(B6,IF(A6&lt;Inputs!$B$26,MAX(Inputs!$B$24-D6,0),0),"")</f>
        <v>192</v>
      </c>
      <c r="Q6" s="9" t="n">
        <f aca="false">IF(B6,MAX(O6-P6,0),"")</f>
        <v>0</v>
      </c>
      <c r="R6" s="9" t="str">
        <f aca="false">IF(B6,IF(Q6&gt;0.000000000001*MAX(E6,ABS(Forecast!T6),Forecast!S6,ABS(Forecast!R6),J6,H6,L6+M6,P6),"liquidity_shortfall","ok"),"not_projected")</f>
        <v>ok</v>
      </c>
      <c r="S6" s="9" t="n">
        <f aca="false">IF(R6="ok",MIN(O6,P6),"")</f>
        <v>0</v>
      </c>
      <c r="T6" s="9" t="n">
        <f aca="false">IF(R6="ok",MAX(N6+S6-L6-M6,0),"")</f>
        <v>0</v>
      </c>
      <c r="U6" s="9" t="n">
        <f aca="false">IF(R6="ok",D6+S6-M6,"")</f>
        <v>0</v>
      </c>
      <c r="V6" s="9" t="n">
        <f aca="false">IF(R6="ok",MIN(T6,U6),"")</f>
        <v>0</v>
      </c>
      <c r="W6" s="9" t="n">
        <f aca="false">IF(R6="ok",M6+V6,"")</f>
        <v>0</v>
      </c>
      <c r="X6" s="9" t="n">
        <f aca="false">IF(R6="ok",T6-V6,"")</f>
        <v>0</v>
      </c>
      <c r="Y6" s="9" t="n">
        <f aca="false">IF(R6="ok",MIN(X6*Inputs!$B$22,C6+I6-L6),"")</f>
        <v>0</v>
      </c>
      <c r="Z6" s="9" t="n">
        <f aca="false">IF(R6="ok",C6+I6-L6-Y6,"")</f>
        <v>128</v>
      </c>
      <c r="AA6" s="9" t="n">
        <f aca="false">IF(R6="ok",U6-V6,"")</f>
        <v>0</v>
      </c>
      <c r="AB6" s="9" t="n">
        <f aca="false">IF(R6="ok",X6-Y6,"")</f>
        <v>0</v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1</v>
      </c>
      <c r="C7" s="9" t="n">
        <f aca="false">IF(B7,Z6,"")</f>
        <v>128</v>
      </c>
      <c r="D7" s="9" t="n">
        <f aca="false">IF(B7,AA6,"")</f>
        <v>0</v>
      </c>
      <c r="E7" s="9" t="n">
        <f aca="false">IF(B7,AB6,"")</f>
        <v>0</v>
      </c>
      <c r="F7" s="9" t="n">
        <f aca="false">IF(B7,C7*Inputs!$B$19*Forecast!F7,"")</f>
        <v>0</v>
      </c>
      <c r="G7" s="9" t="n">
        <f aca="false">IF(B7,D7*Inputs!$B$25*Forecast!F7,"")</f>
        <v>0</v>
      </c>
      <c r="H7" s="9" t="n">
        <f aca="false">IF(B7,F7+G7,"")</f>
        <v>0</v>
      </c>
      <c r="I7" s="9" t="n">
        <f aca="false">IF(B7,C7*Inputs!$B$20*Forecast!F7,"")</f>
        <v>0</v>
      </c>
      <c r="J7" s="9" t="n">
        <f aca="false">IF(B7,MAX(Forecast!T7-H7,0)*Inputs!$B$14,"")</f>
        <v>0</v>
      </c>
      <c r="K7" s="9" t="n">
        <f aca="false">IF(B7,Forecast!T7-Forecast!S7-Forecast!R7-J7,"")</f>
        <v>0</v>
      </c>
      <c r="L7" s="9" t="n">
        <f aca="false">IF(B7,IF(A7&gt;=Inputs!$B$23,C7+I7,MIN(C7+I7,Inputs!$B$18*Inputs!$B$21*Forecast!E7)),"")</f>
        <v>0</v>
      </c>
      <c r="M7" s="9" t="n">
        <f aca="false">IF(B7,IF(A7&gt;=Inputs!$B$26,D7,0),"")</f>
        <v>0</v>
      </c>
      <c r="N7" s="9" t="n">
        <f aca="false">IF(B7,E7+K7-H7,"")</f>
        <v>0</v>
      </c>
      <c r="O7" s="9" t="n">
        <f aca="false">IF(B7,MAX(L7+M7-N7,0),"")</f>
        <v>0</v>
      </c>
      <c r="P7" s="9" t="n">
        <f aca="false">IF(B7,IF(A7&lt;Inputs!$B$26,MAX(Inputs!$B$24-D7,0),0),"")</f>
        <v>192</v>
      </c>
      <c r="Q7" s="9" t="n">
        <f aca="false">IF(B7,MAX(O7-P7,0),"")</f>
        <v>0</v>
      </c>
      <c r="R7" s="9" t="str">
        <f aca="false">IF(B7,IF(Q7&gt;0.000000000001*MAX(E7,ABS(Forecast!T7),Forecast!S7,ABS(Forecast!R7),J7,H7,L7+M7,P7),"liquidity_shortfall","ok"),"not_projected")</f>
        <v>ok</v>
      </c>
      <c r="S7" s="9" t="n">
        <f aca="false">IF(R7="ok",MIN(O7,P7),"")</f>
        <v>0</v>
      </c>
      <c r="T7" s="9" t="n">
        <f aca="false">IF(R7="ok",MAX(N7+S7-L7-M7,0),"")</f>
        <v>0</v>
      </c>
      <c r="U7" s="9" t="n">
        <f aca="false">IF(R7="ok",D7+S7-M7,"")</f>
        <v>0</v>
      </c>
      <c r="V7" s="9" t="n">
        <f aca="false">IF(R7="ok",MIN(T7,U7),"")</f>
        <v>0</v>
      </c>
      <c r="W7" s="9" t="n">
        <f aca="false">IF(R7="ok",M7+V7,"")</f>
        <v>0</v>
      </c>
      <c r="X7" s="9" t="n">
        <f aca="false">IF(R7="ok",T7-V7,"")</f>
        <v>0</v>
      </c>
      <c r="Y7" s="9" t="n">
        <f aca="false">IF(R7="ok",MIN(X7*Inputs!$B$22,C7+I7-L7),"")</f>
        <v>0</v>
      </c>
      <c r="Z7" s="9" t="n">
        <f aca="false">IF(R7="ok",C7+I7-L7-Y7,"")</f>
        <v>128</v>
      </c>
      <c r="AA7" s="9" t="n">
        <f aca="false">IF(R7="ok",U7-V7,"")</f>
        <v>0</v>
      </c>
      <c r="AB7" s="9" t="n">
        <f aca="false">IF(R7="ok",X7-Y7,"")</f>
        <v>0</v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1</v>
      </c>
      <c r="C8" s="9" t="n">
        <f aca="false">IF(B8,Z7,"")</f>
        <v>128</v>
      </c>
      <c r="D8" s="9" t="n">
        <f aca="false">IF(B8,AA7,"")</f>
        <v>0</v>
      </c>
      <c r="E8" s="9" t="n">
        <f aca="false">IF(B8,AB7,"")</f>
        <v>0</v>
      </c>
      <c r="F8" s="9" t="n">
        <f aca="false">IF(B8,C8*Inputs!$B$19*Forecast!F8,"")</f>
        <v>0</v>
      </c>
      <c r="G8" s="9" t="n">
        <f aca="false">IF(B8,D8*Inputs!$B$25*Forecast!F8,"")</f>
        <v>0</v>
      </c>
      <c r="H8" s="9" t="n">
        <f aca="false">IF(B8,F8+G8,"")</f>
        <v>0</v>
      </c>
      <c r="I8" s="9" t="n">
        <f aca="false">IF(B8,C8*Inputs!$B$20*Forecast!F8,"")</f>
        <v>0</v>
      </c>
      <c r="J8" s="9" t="n">
        <f aca="false">IF(B8,MAX(Forecast!T8-H8,0)*Inputs!$B$14,"")</f>
        <v>0</v>
      </c>
      <c r="K8" s="9" t="n">
        <f aca="false">IF(B8,Forecast!T8-Forecast!S8-Forecast!R8-J8,"")</f>
        <v>0</v>
      </c>
      <c r="L8" s="9" t="n">
        <f aca="false">IF(B8,IF(A8&gt;=Inputs!$B$23,C8+I8,MIN(C8+I8,Inputs!$B$18*Inputs!$B$21*Forecast!E8)),"")</f>
        <v>0</v>
      </c>
      <c r="M8" s="9" t="n">
        <f aca="false">IF(B8,IF(A8&gt;=Inputs!$B$26,D8,0),"")</f>
        <v>0</v>
      </c>
      <c r="N8" s="9" t="n">
        <f aca="false">IF(B8,E8+K8-H8,"")</f>
        <v>0</v>
      </c>
      <c r="O8" s="9" t="n">
        <f aca="false">IF(B8,MAX(L8+M8-N8,0),"")</f>
        <v>0</v>
      </c>
      <c r="P8" s="9" t="n">
        <f aca="false">IF(B8,IF(A8&lt;Inputs!$B$26,MAX(Inputs!$B$24-D8,0),0),"")</f>
        <v>192</v>
      </c>
      <c r="Q8" s="9" t="n">
        <f aca="false">IF(B8,MAX(O8-P8,0),"")</f>
        <v>0</v>
      </c>
      <c r="R8" s="9" t="str">
        <f aca="false">IF(B8,IF(Q8&gt;0.000000000001*MAX(E8,ABS(Forecast!T8),Forecast!S8,ABS(Forecast!R8),J8,H8,L8+M8,P8),"liquidity_shortfall","ok"),"not_projected")</f>
        <v>ok</v>
      </c>
      <c r="S8" s="9" t="n">
        <f aca="false">IF(R8="ok",MIN(O8,P8),"")</f>
        <v>0</v>
      </c>
      <c r="T8" s="9" t="n">
        <f aca="false">IF(R8="ok",MAX(N8+S8-L8-M8,0),"")</f>
        <v>0</v>
      </c>
      <c r="U8" s="9" t="n">
        <f aca="false">IF(R8="ok",D8+S8-M8,"")</f>
        <v>0</v>
      </c>
      <c r="V8" s="9" t="n">
        <f aca="false">IF(R8="ok",MIN(T8,U8),"")</f>
        <v>0</v>
      </c>
      <c r="W8" s="9" t="n">
        <f aca="false">IF(R8="ok",M8+V8,"")</f>
        <v>0</v>
      </c>
      <c r="X8" s="9" t="n">
        <f aca="false">IF(R8="ok",T8-V8,"")</f>
        <v>0</v>
      </c>
      <c r="Y8" s="9" t="n">
        <f aca="false">IF(R8="ok",MIN(X8*Inputs!$B$22,C8+I8-L8),"")</f>
        <v>0</v>
      </c>
      <c r="Z8" s="9" t="n">
        <f aca="false">IF(R8="ok",C8+I8-L8-Y8,"")</f>
        <v>128</v>
      </c>
      <c r="AA8" s="9" t="n">
        <f aca="false">IF(R8="ok",U8-V8,"")</f>
        <v>0</v>
      </c>
      <c r="AB8" s="9" t="n">
        <f aca="false">IF(R8="ok",X8-Y8,"")</f>
        <v>0</v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1</v>
      </c>
      <c r="C9" s="9" t="n">
        <f aca="false">IF(B9,Z8,"")</f>
        <v>128</v>
      </c>
      <c r="D9" s="9" t="n">
        <f aca="false">IF(B9,AA8,"")</f>
        <v>0</v>
      </c>
      <c r="E9" s="9" t="n">
        <f aca="false">IF(B9,AB8,"")</f>
        <v>0</v>
      </c>
      <c r="F9" s="9" t="n">
        <f aca="false">IF(B9,C9*Inputs!$B$19*Forecast!F9,"")</f>
        <v>0</v>
      </c>
      <c r="G9" s="9" t="n">
        <f aca="false">IF(B9,D9*Inputs!$B$25*Forecast!F9,"")</f>
        <v>0</v>
      </c>
      <c r="H9" s="9" t="n">
        <f aca="false">IF(B9,F9+G9,"")</f>
        <v>0</v>
      </c>
      <c r="I9" s="9" t="n">
        <f aca="false">IF(B9,C9*Inputs!$B$20*Forecast!F9,"")</f>
        <v>0</v>
      </c>
      <c r="J9" s="9" t="n">
        <f aca="false">IF(B9,MAX(Forecast!T9-H9,0)*Inputs!$B$14,"")</f>
        <v>0</v>
      </c>
      <c r="K9" s="9" t="n">
        <f aca="false">IF(B9,Forecast!T9-Forecast!S9-Forecast!R9-J9,"")</f>
        <v>0</v>
      </c>
      <c r="L9" s="9" t="n">
        <f aca="false">IF(B9,IF(A9&gt;=Inputs!$B$23,C9+I9,MIN(C9+I9,Inputs!$B$18*Inputs!$B$21*Forecast!E9)),"")</f>
        <v>0</v>
      </c>
      <c r="M9" s="9" t="n">
        <f aca="false">IF(B9,IF(A9&gt;=Inputs!$B$26,D9,0),"")</f>
        <v>0</v>
      </c>
      <c r="N9" s="9" t="n">
        <f aca="false">IF(B9,E9+K9-H9,"")</f>
        <v>0</v>
      </c>
      <c r="O9" s="9" t="n">
        <f aca="false">IF(B9,MAX(L9+M9-N9,0),"")</f>
        <v>0</v>
      </c>
      <c r="P9" s="9" t="n">
        <f aca="false">IF(B9,IF(A9&lt;Inputs!$B$26,MAX(Inputs!$B$24-D9,0),0),"")</f>
        <v>192</v>
      </c>
      <c r="Q9" s="9" t="n">
        <f aca="false">IF(B9,MAX(O9-P9,0),"")</f>
        <v>0</v>
      </c>
      <c r="R9" s="9" t="str">
        <f aca="false">IF(B9,IF(Q9&gt;0.000000000001*MAX(E9,ABS(Forecast!T9),Forecast!S9,ABS(Forecast!R9),J9,H9,L9+M9,P9),"liquidity_shortfall","ok"),"not_projected")</f>
        <v>ok</v>
      </c>
      <c r="S9" s="9" t="n">
        <f aca="false">IF(R9="ok",MIN(O9,P9),"")</f>
        <v>0</v>
      </c>
      <c r="T9" s="9" t="n">
        <f aca="false">IF(R9="ok",MAX(N9+S9-L9-M9,0),"")</f>
        <v>0</v>
      </c>
      <c r="U9" s="9" t="n">
        <f aca="false">IF(R9="ok",D9+S9-M9,"")</f>
        <v>0</v>
      </c>
      <c r="V9" s="9" t="n">
        <f aca="false">IF(R9="ok",MIN(T9,U9),"")</f>
        <v>0</v>
      </c>
      <c r="W9" s="9" t="n">
        <f aca="false">IF(R9="ok",M9+V9,"")</f>
        <v>0</v>
      </c>
      <c r="X9" s="9" t="n">
        <f aca="false">IF(R9="ok",T9-V9,"")</f>
        <v>0</v>
      </c>
      <c r="Y9" s="9" t="n">
        <f aca="false">IF(R9="ok",MIN(X9*Inputs!$B$22,C9+I9-L9),"")</f>
        <v>0</v>
      </c>
      <c r="Z9" s="9" t="n">
        <f aca="false">IF(R9="ok",C9+I9-L9-Y9,"")</f>
        <v>128</v>
      </c>
      <c r="AA9" s="9" t="n">
        <f aca="false">IF(R9="ok",U9-V9,"")</f>
        <v>0</v>
      </c>
      <c r="AB9" s="9" t="n">
        <f aca="false">IF(R9="ok",X9-Y9,"")</f>
        <v>0</v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512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1024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896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448</v>
      </c>
    </row>
    <row r="9" customFormat="false" ht="15" hidden="false" customHeight="false" outlineLevel="0" collapsed="false">
      <c r="A9" s="0" t="s">
        <v>125</v>
      </c>
      <c r="B9" s="9" t="n">
        <f aca="false">B7-B8</f>
        <v>448</v>
      </c>
    </row>
    <row r="10" customFormat="false" ht="15" hidden="false" customHeight="false" outlineLevel="0" collapsed="false">
      <c r="A10" s="0" t="s">
        <v>126</v>
      </c>
      <c r="B10" s="9" t="n">
        <f aca="false">B7-B11</f>
        <v>761.6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134.4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47177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4.37534246575343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ok</v>
      </c>
    </row>
    <row r="17" customFormat="false" ht="15" hidden="false" customHeight="false" outlineLevel="0" collapsed="false">
      <c r="A17" s="0" t="s">
        <v>131</v>
      </c>
      <c r="B17" s="9" t="str">
        <f aca="false">IF(B16="ok","",MATCH("liquidity_shortfall",Debt!R5:R12,0))</f>
        <v/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0</v>
      </c>
    </row>
    <row r="20" customFormat="false" ht="15" hidden="false" customHeight="false" outlineLevel="0" collapsed="false">
      <c r="A20" s="0" t="s">
        <v>133</v>
      </c>
      <c r="B20" s="9" t="n">
        <f aca="false">IF($B$16="ok",INDEX(Forecast!O5:O12,Inputs!$B$8)*Inputs!$B$12,"")</f>
        <v>1024</v>
      </c>
    </row>
    <row r="21" customFormat="false" ht="15" hidden="false" customHeight="false" outlineLevel="0" collapsed="false">
      <c r="A21" s="0" t="s">
        <v>134</v>
      </c>
      <c r="B21" s="9" t="n">
        <f aca="false">IF($B$16="ok",MAX(B20,0)*Inputs!$B$13,"")</f>
        <v>0</v>
      </c>
    </row>
    <row r="22" customFormat="false" ht="15" hidden="false" customHeight="false" outlineLevel="0" collapsed="false">
      <c r="A22" s="0" t="s">
        <v>135</v>
      </c>
      <c r="B22" s="9" t="n">
        <f aca="false">IF($B$16="ok",INDEX(Debt!Z5:Z12,Inputs!$B$8)+INDEX(Debt!AA5:AA12,Inputs!$B$8),"")</f>
        <v>128</v>
      </c>
    </row>
    <row r="23" customFormat="false" ht="15" hidden="false" customHeight="false" outlineLevel="0" collapsed="false">
      <c r="A23" s="0" t="s">
        <v>136</v>
      </c>
      <c r="B23" s="9" t="n">
        <f aca="false">IF($B$16="ok",INDEX(Debt!AB5:AB12,Inputs!$B$8),"")</f>
        <v>0</v>
      </c>
    </row>
    <row r="24" customFormat="false" ht="15" hidden="false" customHeight="false" outlineLevel="0" collapsed="false">
      <c r="A24" s="0" t="s">
        <v>137</v>
      </c>
      <c r="B24" s="9" t="n">
        <f aca="false">IF($B$16="ok",B20-B21-B22+B23,"")</f>
        <v>896</v>
      </c>
    </row>
    <row r="25" customFormat="false" ht="15" hidden="false" customHeight="false" outlineLevel="0" collapsed="false">
      <c r="A25" s="0" t="s">
        <v>138</v>
      </c>
      <c r="B25" s="9" t="n">
        <f aca="false">IF($B$16="ok",MAX(B24,0),"")</f>
        <v>896</v>
      </c>
    </row>
    <row r="27" customFormat="false" ht="15" hidden="false" customHeight="false" outlineLevel="0" collapsed="false">
      <c r="A27" s="0" t="s">
        <v>139</v>
      </c>
      <c r="B27" s="9" t="n">
        <f aca="false">IF($B$16="ok",B9*(1+Inputs!$B$17)^B14,"")</f>
        <v>448</v>
      </c>
    </row>
    <row r="28" customFormat="false" ht="15" hidden="false" customHeight="false" outlineLevel="0" collapsed="false">
      <c r="A28" s="0" t="s">
        <v>140</v>
      </c>
      <c r="B28" s="9" t="n">
        <f aca="false">IF($B$16="ok",IF(B25-B27&lt;=0.000000000001*B25,B25,B27),"")</f>
        <v>448</v>
      </c>
    </row>
    <row r="29" customFormat="false" ht="15" hidden="false" customHeight="false" outlineLevel="0" collapsed="false">
      <c r="A29" s="0" t="s">
        <v>141</v>
      </c>
      <c r="B29" s="9" t="n">
        <f aca="false">IF($B$16="ok",B25-B28,"")</f>
        <v>448</v>
      </c>
    </row>
    <row r="30" customFormat="false" ht="15" hidden="false" customHeight="false" outlineLevel="0" collapsed="false">
      <c r="A30" s="0" t="s">
        <v>142</v>
      </c>
      <c r="B30" s="9" t="n">
        <f aca="false">IF($B$16="ok",B28+B29*(1-Inputs!$B$16),"")</f>
        <v>761.6</v>
      </c>
    </row>
    <row r="31" customFormat="false" ht="15" hidden="false" customHeight="false" outlineLevel="0" collapsed="false">
      <c r="A31" s="0" t="s">
        <v>143</v>
      </c>
      <c r="B31" s="9" t="n">
        <f aca="false">IF($B$16="ok",B29*Inputs!$B$16,"")</f>
        <v>134.4</v>
      </c>
    </row>
    <row r="33" customFormat="false" ht="15" hidden="false" customHeight="false" outlineLevel="0" collapsed="false">
      <c r="A33" s="0" t="s">
        <v>144</v>
      </c>
      <c r="B33" s="9" t="n">
        <f aca="false">IF(AND($B$16="ok",B7&gt;0),B25/B7,"")</f>
        <v>1</v>
      </c>
    </row>
    <row r="34" customFormat="false" ht="15" hidden="false" customHeight="false" outlineLevel="0" collapsed="false">
      <c r="A34" s="0" t="s">
        <v>145</v>
      </c>
      <c r="B34" s="9" t="n">
        <f aca="false">IF(AND($B$16="ok",B10&gt;0),B30/B10,"")</f>
        <v>1</v>
      </c>
    </row>
    <row r="35" customFormat="false" ht="15" hidden="false" customHeight="false" outlineLevel="0" collapsed="false">
      <c r="A35" s="0" t="s">
        <v>146</v>
      </c>
      <c r="B35" s="9" t="n">
        <f aca="false">IF(AND($B$16="ok",B11&gt;0),B31/B11,"")</f>
        <v>1</v>
      </c>
    </row>
    <row r="37" customFormat="false" ht="15" hidden="false" customHeight="false" outlineLevel="0" collapsed="false">
      <c r="A37" s="0" t="s">
        <v>147</v>
      </c>
      <c r="B37" s="8" t="n">
        <f aca="false">IF(AND($B$16="ok",B7&gt;0,B25&gt;0),XIRR(C44:C45,$B$44:$B$45,MAX(-0.999999999999999,EXP(LN(B25/B7)/$B$14)-1)),"")</f>
        <v>0</v>
      </c>
    </row>
    <row r="38" customFormat="false" ht="15" hidden="false" customHeight="false" outlineLevel="0" collapsed="false">
      <c r="A38" s="0" t="s">
        <v>148</v>
      </c>
      <c r="B38" s="8" t="n">
        <f aca="false">IF(AND($B$16="ok",B10&gt;0,B30&gt;0),XIRR(D44:D45,$B$44:$B$45,MAX(-0.999999999999999,EXP(LN(B30/B10)/$B$14)-1)),"")</f>
        <v>-3.41170285872719E-017</v>
      </c>
    </row>
    <row r="39" customFormat="false" ht="15" hidden="false" customHeight="false" outlineLevel="0" collapsed="false">
      <c r="A39" s="0" t="s">
        <v>149</v>
      </c>
      <c r="B39" s="8" t="n">
        <f aca="false">IF(AND($B$16="ok",B11&gt;0,B31&gt;0),XIRR(E44:E45,$B$44:$B$45,MAX(-0.999999999999999,EXP(LN(B31/B11)/$B$14)-1)),"")</f>
        <v>0</v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45580</v>
      </c>
      <c r="C44" s="9" t="n">
        <f aca="false">-B7</f>
        <v>-896</v>
      </c>
      <c r="D44" s="9" t="n">
        <f aca="false">-B10</f>
        <v>-761.6</v>
      </c>
      <c r="E44" s="9" t="n">
        <f aca="false">-B11</f>
        <v>-134.4</v>
      </c>
    </row>
    <row r="45" customFormat="false" ht="15" hidden="false" customHeight="false" outlineLevel="0" collapsed="false">
      <c r="A45" s="0" t="s">
        <v>156</v>
      </c>
      <c r="B45" s="7" t="n">
        <f aca="false">B13</f>
        <v>47177</v>
      </c>
      <c r="C45" s="9" t="n">
        <f aca="false">IF($B$16="ok",B25,"")</f>
        <v>896</v>
      </c>
      <c r="D45" s="9" t="n">
        <f aca="false">IF($B$16="ok",B30,"")</f>
        <v>761.6</v>
      </c>
      <c r="E45" s="9" t="n">
        <f aca="false">IF($B$16="ok",B31,"")</f>
        <v>134.4</v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2026-10-05T06:17:34Z</dcterms:created>
  <dc:creator>Pierre LBO One</dc:creator>
  <dc:description>Explicit Excel formulas; GBP thousands; ACT/365 interest.</dc:description>
  <dc:language>en-GB</dc:language>
  <cp:lastModifiedBy/>
  <dcterms:modified xsi:type="dcterms:W3CDTF">2026-10-05T06:17:34Z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