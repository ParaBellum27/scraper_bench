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<sst xmlns="http://schemas.openxmlformats.org/spreadsheetml/2006/main" count="163" uniqueCount="159">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</sst>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1.12890625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192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</v>
      </c>
      <c r="K5" s="8" t="n">
        <f aca="false">Inputs!B31</f>
        <v>0</v>
      </c>
      <c r="L5" s="9" t="n">
        <f aca="false">Inputs!$B$9*(1+G5)</f>
        <v>2048</v>
      </c>
      <c r="M5" s="9" t="n">
        <f aca="false">L5*H5</f>
        <v>768</v>
      </c>
      <c r="N5" s="9" t="n">
        <f aca="false">L5*I5</f>
        <v>256</v>
      </c>
      <c r="O5" s="9" t="n">
        <f aca="false">M5-N5</f>
        <v>512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510.597260273973</v>
      </c>
      <c r="T5" s="9" t="n">
        <f aca="false">O5*E5</f>
        <v>510.597260273973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</v>
      </c>
      <c r="K6" s="8" t="n">
        <f aca="false">Inputs!B32</f>
        <v>0</v>
      </c>
      <c r="L6" s="9" t="n">
        <f aca="false">L5*(1+G6)</f>
        <v>2048</v>
      </c>
      <c r="M6" s="9" t="n">
        <f aca="false">L6*H6</f>
        <v>768</v>
      </c>
      <c r="N6" s="9" t="n">
        <f aca="false">L6*I6</f>
        <v>256</v>
      </c>
      <c r="O6" s="9" t="n">
        <f aca="false">M6-N6</f>
        <v>512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512</v>
      </c>
      <c r="T6" s="9" t="n">
        <f aca="false">O6*E6</f>
        <v>512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</v>
      </c>
      <c r="K7" s="8" t="n">
        <f aca="false">Inputs!B33</f>
        <v>0</v>
      </c>
      <c r="L7" s="9" t="n">
        <f aca="false">L6*(1+G7)</f>
        <v>2048</v>
      </c>
      <c r="M7" s="9" t="n">
        <f aca="false">L7*H7</f>
        <v>768</v>
      </c>
      <c r="N7" s="9" t="n">
        <f aca="false">L7*I7</f>
        <v>256</v>
      </c>
      <c r="O7" s="9" t="n">
        <f aca="false">M7-N7</f>
        <v>512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512</v>
      </c>
      <c r="T7" s="9" t="n">
        <f aca="false">O7*E7</f>
        <v>512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</v>
      </c>
      <c r="K8" s="8" t="n">
        <f aca="false">Inputs!B34</f>
        <v>0</v>
      </c>
      <c r="L8" s="9" t="n">
        <f aca="false">L7*(1+G8)</f>
        <v>2048</v>
      </c>
      <c r="M8" s="9" t="n">
        <f aca="false">L8*H8</f>
        <v>768</v>
      </c>
      <c r="N8" s="9" t="n">
        <f aca="false">L8*I8</f>
        <v>256</v>
      </c>
      <c r="O8" s="9" t="n">
        <f aca="false">M8-N8</f>
        <v>512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512</v>
      </c>
      <c r="T8" s="9" t="n">
        <f aca="false">O8*E8</f>
        <v>512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</v>
      </c>
      <c r="K9" s="8" t="n">
        <f aca="false">Inputs!B35</f>
        <v>0</v>
      </c>
      <c r="L9" s="9" t="n">
        <f aca="false">L8*(1+G9)</f>
        <v>2048</v>
      </c>
      <c r="M9" s="9" t="n">
        <f aca="false">L9*H9</f>
        <v>768</v>
      </c>
      <c r="N9" s="9" t="n">
        <f aca="false">L9*I9</f>
        <v>256</v>
      </c>
      <c r="O9" s="9" t="n">
        <f aca="false">M9-N9</f>
        <v>512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512</v>
      </c>
      <c r="T9" s="9" t="n">
        <f aca="false">O9*E9</f>
        <v>512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</v>
      </c>
      <c r="K10" s="8" t="n">
        <f aca="false">Inputs!B36</f>
        <v>0</v>
      </c>
      <c r="L10" s="9" t="n">
        <f aca="false">L9*(1+G10)</f>
        <v>2048</v>
      </c>
      <c r="M10" s="9" t="n">
        <f aca="false">L10*H10</f>
        <v>768</v>
      </c>
      <c r="N10" s="9" t="n">
        <f aca="false">L10*I10</f>
        <v>256</v>
      </c>
      <c r="O10" s="9" t="n">
        <f aca="false">M10-N10</f>
        <v>512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512</v>
      </c>
      <c r="T10" s="9" t="n">
        <f aca="false">O10*E10</f>
        <v>512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</v>
      </c>
      <c r="K11" s="8" t="n">
        <f aca="false">Inputs!B37</f>
        <v>0</v>
      </c>
      <c r="L11" s="9" t="n">
        <f aca="false">L10*(1+G11)</f>
        <v>2048</v>
      </c>
      <c r="M11" s="9" t="n">
        <f aca="false">L11*H11</f>
        <v>768</v>
      </c>
      <c r="N11" s="9" t="n">
        <f aca="false">L11*I11</f>
        <v>256</v>
      </c>
      <c r="O11" s="9" t="n">
        <f aca="false">M11-N11</f>
        <v>512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512</v>
      </c>
      <c r="T11" s="9" t="n">
        <f aca="false">O11*E11</f>
        <v>512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</v>
      </c>
      <c r="K12" s="8" t="n">
        <f aca="false">Inputs!B38</f>
        <v>0</v>
      </c>
      <c r="L12" s="9" t="n">
        <f aca="false">L11*(1+G12)</f>
        <v>2048</v>
      </c>
      <c r="M12" s="9" t="n">
        <f aca="false">L12*H12</f>
        <v>768</v>
      </c>
      <c r="N12" s="9" t="n">
        <f aca="false">L12*I12</f>
        <v>256</v>
      </c>
      <c r="O12" s="9" t="n">
        <f aca="false">M12-N12</f>
        <v>512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512</v>
      </c>
      <c r="T12" s="9" t="n">
        <f aca="false">O12*E12</f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0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0</v>
      </c>
      <c r="O5" s="9" t="n">
        <f aca="false">IF(B5,MAX(L5+M5-N5,0),"")</f>
        <v>0</v>
      </c>
      <c r="P5" s="9" t="n">
        <f aca="false">IF(B5,IF(A5&lt;Inputs!$B$26,MAX(Inputs!$B$24-D5,0),0),"")</f>
        <v>192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0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</v>
      </c>
      <c r="AA5" s="9" t="n">
        <f aca="false">IF(R5="ok",U5-V5,"")</f>
        <v>0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</v>
      </c>
    </row>
    <row r="9" customFormat="false" ht="15" hidden="false" customHeight="false" outlineLevel="0" collapsed="false">
      <c r="A9" s="0" t="s">
        <v>125</v>
      </c>
      <c r="B9" s="9" t="n">
        <f aca="false">B7-B8</f>
        <v>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761.6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134.4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578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128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450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450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448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448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2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449.4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0.6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0.502232142857143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0.590073529411765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0.00446428571428571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-0.498717188664555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-0.410780984721064</v>
      </c>
    </row>
    <row r="39" customFormat="false" ht="15" hidden="false" customHeight="false" outlineLevel="0" collapsed="false">
      <c r="A39" s="0" t="s">
        <v>149</v>
      </c>
      <c r="B39" s="8" t="n">
        <f aca="false">IF(AND($B$16="ok",B11&gt;0,B31&gt;0),XIRR(E44:E45,$B$44:$B$45,MAX(-0.999999999999999,EXP(LN(B31/B11)/$B$14)-1)),"")</f>
        <v>-0.995601594593417</v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-896</v>
      </c>
      <c r="D44" s="9" t="n">
        <f aca="false">-B10</f>
        <v>-761.6</v>
      </c>
      <c r="E44" s="9" t="n">
        <f aca="false">-B11</f>
        <v>-134.4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n">
        <f aca="false">IF($B$16="ok",B25,"")</f>
        <v>450</v>
      </c>
      <c r="D45" s="9" t="n">
        <f aca="false">IF($B$16="ok",B30,"")</f>
        <v>449.4</v>
      </c>
      <c r="E45" s="9" t="n">
        <f aca="false">IF($B$16="ok",B31,"")</f>
        <v>0.6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2026-10-05T06:17:22Z</dcterms:created>
  <dc:creator>Pierre LBO One</dc:creator>
  <dc:description>Explicit Excel formulas; GBP thousands; ACT/365 interest.</dc:description>
  <dc:language>en-GB</dc:language>
  <cp:lastModifiedBy/>
  <dcterms:modified xsi:type="dcterms:W3CDTF">2026-10-05T06:17:22Z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