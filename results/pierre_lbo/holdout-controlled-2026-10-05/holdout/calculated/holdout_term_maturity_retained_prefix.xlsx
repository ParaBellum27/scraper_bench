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<sst xmlns="http://schemas.openxmlformats.org/spreadsheetml/2006/main" count="163" uniqueCount="159">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</sst>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4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3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64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510.597260273973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64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1</v>
      </c>
      <c r="C6" s="9" t="n">
        <f aca="false">IF(B6,Z5,"")</f>
        <v>128</v>
      </c>
      <c r="D6" s="9" t="n">
        <f aca="false">IF(B6,AA5,"")</f>
        <v>0</v>
      </c>
      <c r="E6" s="9" t="n">
        <f aca="false">IF(B6,AB5,"")</f>
        <v>0</v>
      </c>
      <c r="F6" s="9" t="n">
        <f aca="false">IF(B6,C6*Inputs!$B$19*Forecast!F6,"")</f>
        <v>0</v>
      </c>
      <c r="G6" s="9" t="n">
        <f aca="false">IF(B6,D6*Inputs!$B$25*Forecast!F6,"")</f>
        <v>0</v>
      </c>
      <c r="H6" s="9" t="n">
        <f aca="false">IF(B6,F6+G6,"")</f>
        <v>0</v>
      </c>
      <c r="I6" s="9" t="n">
        <f aca="false">IF(B6,C6*Inputs!$B$20*Forecast!F6,"")</f>
        <v>0</v>
      </c>
      <c r="J6" s="9" t="n">
        <f aca="false">IF(B6,MAX(Forecast!T6-H6,0)*Inputs!$B$14,"")</f>
        <v>0</v>
      </c>
      <c r="K6" s="9" t="n">
        <f aca="false">IF(B6,Forecast!T6-Forecast!S6-Forecast!R6-J6,"")</f>
        <v>0</v>
      </c>
      <c r="L6" s="9" t="n">
        <f aca="false">IF(B6,IF(A6&gt;=Inputs!$B$23,C6+I6,MIN(C6+I6,Inputs!$B$18*Inputs!$B$21*Forecast!E6)),"")</f>
        <v>0</v>
      </c>
      <c r="M6" s="9" t="n">
        <f aca="false">IF(B6,IF(A6&gt;=Inputs!$B$26,D6,0),"")</f>
        <v>0</v>
      </c>
      <c r="N6" s="9" t="n">
        <f aca="false">IF(B6,E6+K6-H6,"")</f>
        <v>0</v>
      </c>
      <c r="O6" s="9" t="n">
        <f aca="false">IF(B6,MAX(L6+M6-N6,0),"")</f>
        <v>0</v>
      </c>
      <c r="P6" s="9" t="n">
        <f aca="false">IF(B6,IF(A6&lt;Inputs!$B$26,MAX(Inputs!$B$24-D6,0),0),"")</f>
        <v>64</v>
      </c>
      <c r="Q6" s="9" t="n">
        <f aca="false">IF(B6,MAX(O6-P6,0),"")</f>
        <v>0</v>
      </c>
      <c r="R6" s="9" t="str">
        <f aca="false">IF(B6,IF(Q6&gt;0.000000000001*MAX(E6,ABS(Forecast!T6),Forecast!S6,ABS(Forecast!R6),J6,H6,L6+M6,P6),"liquidity_shortfall","ok"),"not_projected")</f>
        <v>ok</v>
      </c>
      <c r="S6" s="9" t="n">
        <f aca="false">IF(R6="ok",MIN(O6,P6),"")</f>
        <v>0</v>
      </c>
      <c r="T6" s="9" t="n">
        <f aca="false">IF(R6="ok",MAX(N6+S6-L6-M6,0),"")</f>
        <v>0</v>
      </c>
      <c r="U6" s="9" t="n">
        <f aca="false">IF(R6="ok",D6+S6-M6,"")</f>
        <v>0</v>
      </c>
      <c r="V6" s="9" t="n">
        <f aca="false">IF(R6="ok",MIN(T6,U6),"")</f>
        <v>0</v>
      </c>
      <c r="W6" s="9" t="n">
        <f aca="false">IF(R6="ok",M6+V6,"")</f>
        <v>0</v>
      </c>
      <c r="X6" s="9" t="n">
        <f aca="false">IF(R6="ok",T6-V6,"")</f>
        <v>0</v>
      </c>
      <c r="Y6" s="9" t="n">
        <f aca="false">IF(R6="ok",MIN(X6*Inputs!$B$22,C6+I6-L6),"")</f>
        <v>0</v>
      </c>
      <c r="Z6" s="9" t="n">
        <f aca="false">IF(R6="ok",C6+I6-L6-Y6,"")</f>
        <v>128</v>
      </c>
      <c r="AA6" s="9" t="n">
        <f aca="false">IF(R6="ok",U6-V6,"")</f>
        <v>0</v>
      </c>
      <c r="AB6" s="9" t="n">
        <f aca="false">IF(R6="ok",X6-Y6,"")</f>
        <v>0</v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1</v>
      </c>
      <c r="C7" s="9" t="n">
        <f aca="false">IF(B7,Z6,"")</f>
        <v>128</v>
      </c>
      <c r="D7" s="9" t="n">
        <f aca="false">IF(B7,AA6,"")</f>
        <v>0</v>
      </c>
      <c r="E7" s="9" t="n">
        <f aca="false">IF(B7,AB6,"")</f>
        <v>0</v>
      </c>
      <c r="F7" s="9" t="n">
        <f aca="false">IF(B7,C7*Inputs!$B$19*Forecast!F7,"")</f>
        <v>0</v>
      </c>
      <c r="G7" s="9" t="n">
        <f aca="false">IF(B7,D7*Inputs!$B$25*Forecast!F7,"")</f>
        <v>0</v>
      </c>
      <c r="H7" s="9" t="n">
        <f aca="false">IF(B7,F7+G7,"")</f>
        <v>0</v>
      </c>
      <c r="I7" s="9" t="n">
        <f aca="false">IF(B7,C7*Inputs!$B$20*Forecast!F7,"")</f>
        <v>0</v>
      </c>
      <c r="J7" s="9" t="n">
        <f aca="false">IF(B7,MAX(Forecast!T7-H7,0)*Inputs!$B$14,"")</f>
        <v>0</v>
      </c>
      <c r="K7" s="9" t="n">
        <f aca="false">IF(B7,Forecast!T7-Forecast!S7-Forecast!R7-J7,"")</f>
        <v>0</v>
      </c>
      <c r="L7" s="9" t="n">
        <f aca="false">IF(B7,IF(A7&gt;=Inputs!$B$23,C7+I7,MIN(C7+I7,Inputs!$B$18*Inputs!$B$21*Forecast!E7)),"")</f>
        <v>128</v>
      </c>
      <c r="M7" s="9" t="n">
        <f aca="false">IF(B7,IF(A7&gt;=Inputs!$B$26,D7,0),"")</f>
        <v>0</v>
      </c>
      <c r="N7" s="9" t="n">
        <f aca="false">IF(B7,E7+K7-H7,"")</f>
        <v>0</v>
      </c>
      <c r="O7" s="9" t="n">
        <f aca="false">IF(B7,MAX(L7+M7-N7,0),"")</f>
        <v>128</v>
      </c>
      <c r="P7" s="9" t="n">
        <f aca="false">IF(B7,IF(A7&lt;Inputs!$B$26,MAX(Inputs!$B$24-D7,0),0),"")</f>
        <v>64</v>
      </c>
      <c r="Q7" s="9" t="n">
        <f aca="false">IF(B7,MAX(O7-P7,0),"")</f>
        <v>64</v>
      </c>
      <c r="R7" s="9" t="str">
        <f aca="false">IF(B7,IF(Q7&gt;0.000000000001*MAX(E7,ABS(Forecast!T7),Forecast!S7,ABS(Forecast!R7),J7,H7,L7+M7,P7),"liquidity_shortfall","ok"),"not_projected")</f>
        <v>liquidity_shortfall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47664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4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liquidity_shortfall</v>
      </c>
    </row>
    <row r="17" customFormat="false" ht="15" hidden="false" customHeight="false" outlineLevel="0" collapsed="false">
      <c r="A17" s="0" t="s">
        <v>131</v>
      </c>
      <c r="B17" s="9" t="n">
        <f aca="false">IF(B16="ok","",MATCH("liquidity_shortfall",Debt!R5:R12,0))</f>
        <v>3</v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64</v>
      </c>
    </row>
    <row r="20" customFormat="false" ht="15" hidden="false" customHeight="false" outlineLevel="0" collapsed="false">
      <c r="A20" s="0" t="s">
        <v>133</v>
      </c>
      <c r="B20" s="9" t="str">
        <f aca="false">IF($B$16="ok",INDEX(Forecast!O5:O12,Inputs!$B$8)*Inputs!$B$12,"")</f>
        <v/>
      </c>
    </row>
    <row r="21" customFormat="false" ht="15" hidden="false" customHeight="false" outlineLevel="0" collapsed="false">
      <c r="A21" s="0" t="s">
        <v>134</v>
      </c>
      <c r="B21" s="9" t="str">
        <f aca="false">IF($B$16="ok",MAX(B20,0)*Inputs!$B$13,"")</f>
        <v/>
      </c>
    </row>
    <row r="22" customFormat="false" ht="15" hidden="false" customHeight="false" outlineLevel="0" collapsed="false">
      <c r="A22" s="0" t="s">
        <v>135</v>
      </c>
      <c r="B22" s="9" t="str">
        <f aca="false">IF($B$16="ok",INDEX(Debt!Z5:Z12,Inputs!$B$8)+INDEX(Debt!AA5:AA12,Inputs!$B$8),"")</f>
        <v/>
      </c>
    </row>
    <row r="23" customFormat="false" ht="15" hidden="false" customHeight="false" outlineLevel="0" collapsed="false">
      <c r="A23" s="0" t="s">
        <v>136</v>
      </c>
      <c r="B23" s="9" t="str">
        <f aca="false">IF($B$16="ok",INDEX(Debt!AB5:AB12,Inputs!$B$8),"")</f>
        <v/>
      </c>
    </row>
    <row r="24" customFormat="false" ht="15" hidden="false" customHeight="false" outlineLevel="0" collapsed="false">
      <c r="A24" s="0" t="s">
        <v>137</v>
      </c>
      <c r="B24" s="9" t="str">
        <f aca="false">IF($B$16="ok",B20-B21-B22+B23,"")</f>
        <v/>
      </c>
    </row>
    <row r="25" customFormat="false" ht="15" hidden="false" customHeight="false" outlineLevel="0" collapsed="false">
      <c r="A25" s="0" t="s">
        <v>138</v>
      </c>
      <c r="B25" s="9" t="str">
        <f aca="false">IF($B$16="ok",MAX(B24,0),"")</f>
        <v/>
      </c>
    </row>
    <row r="27" customFormat="false" ht="15" hidden="false" customHeight="false" outlineLevel="0" collapsed="false">
      <c r="A27" s="0" t="s">
        <v>139</v>
      </c>
      <c r="B27" s="9" t="str">
        <f aca="false">IF($B$16="ok",B9*(1+Inputs!$B$17)^B14,"")</f>
        <v/>
      </c>
    </row>
    <row r="28" customFormat="false" ht="15" hidden="false" customHeight="false" outlineLevel="0" collapsed="false">
      <c r="A28" s="0" t="s">
        <v>140</v>
      </c>
      <c r="B28" s="9" t="str">
        <f aca="false">IF($B$16="ok",IF(B25-B27&lt;=0.000000000001*B25,B25,B27),"")</f>
        <v/>
      </c>
    </row>
    <row r="29" customFormat="false" ht="15" hidden="false" customHeight="false" outlineLevel="0" collapsed="false">
      <c r="A29" s="0" t="s">
        <v>141</v>
      </c>
      <c r="B29" s="9" t="str">
        <f aca="false">IF($B$16="ok",B25-B28,"")</f>
        <v/>
      </c>
    </row>
    <row r="30" customFormat="false" ht="15" hidden="false" customHeight="false" outlineLevel="0" collapsed="false">
      <c r="A30" s="0" t="s">
        <v>142</v>
      </c>
      <c r="B30" s="9" t="str">
        <f aca="false">IF($B$16="ok",B28+B29*(1-Inputs!$B$16),"")</f>
        <v/>
      </c>
    </row>
    <row r="31" customFormat="false" ht="15" hidden="false" customHeight="false" outlineLevel="0" collapsed="false">
      <c r="A31" s="0" t="s">
        <v>143</v>
      </c>
      <c r="B31" s="9" t="str">
        <f aca="false">IF($B$16="ok",B29*Inputs!$B$16,"")</f>
        <v/>
      </c>
    </row>
    <row r="33" customFormat="false" ht="15" hidden="false" customHeight="false" outlineLevel="0" collapsed="false">
      <c r="A33" s="0" t="s">
        <v>144</v>
      </c>
      <c r="B33" s="9" t="str">
        <f aca="false">IF(AND($B$16="ok",B7&gt;0),B25/B7,"")</f>
        <v/>
      </c>
    </row>
    <row r="34" customFormat="false" ht="15" hidden="false" customHeight="false" outlineLevel="0" collapsed="false">
      <c r="A34" s="0" t="s">
        <v>145</v>
      </c>
      <c r="B34" s="9" t="str">
        <f aca="false">IF(AND($B$16="ok",B10&gt;0),B30/B10,"")</f>
        <v/>
      </c>
    </row>
    <row r="35" customFormat="false" ht="15" hidden="false" customHeight="false" outlineLevel="0" collapsed="false">
      <c r="A35" s="0" t="s">
        <v>146</v>
      </c>
      <c r="B35" s="9" t="str">
        <f aca="false">IF(AND($B$16="ok",B11&gt;0),B31/B11,"")</f>
        <v/>
      </c>
    </row>
    <row r="37" customFormat="false" ht="15" hidden="false" customHeight="false" outlineLevel="0" collapsed="false">
      <c r="A37" s="0" t="s">
        <v>147</v>
      </c>
      <c r="B37" s="8" t="str">
        <f aca="false">IF(AND($B$16="ok",B7&gt;0,B25&gt;0),XIRR(C44:C45,$B$44:$B$45,MAX(-0.999999999999999,EXP(LN(B25/B7)/$B$14)-1)),"")</f>
        <v/>
      </c>
    </row>
    <row r="38" customFormat="false" ht="15" hidden="false" customHeight="false" outlineLevel="0" collapsed="false">
      <c r="A38" s="0" t="s">
        <v>148</v>
      </c>
      <c r="B38" s="8" t="str">
        <f aca="false">IF(AND($B$16="ok",B10&gt;0,B30&gt;0),XIRR(D44:D45,$B$44:$B$45,MAX(-0.999999999999999,EXP(LN(B30/B10)/$B$14)-1)),"")</f>
        <v/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47664</v>
      </c>
      <c r="C45" s="9" t="str">
        <f aca="false">IF($B$16="ok",B25,"")</f>
        <v/>
      </c>
      <c r="D45" s="9" t="str">
        <f aca="false">IF($B$16="ok",B30,"")</f>
        <v/>
      </c>
      <c r="E45" s="9" t="str">
        <f aca="false">IF($B$16="ok",B31,"")</f>
        <v/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2026-10-05T06:17:30Z</dcterms:created>
  <dc:creator>Pierre LBO One</dc:creator>
  <dc:description>Explicit Excel formulas; GBP thousands; ACT/365 interest.</dc:description>
  <dc:language>en-GB</dc:language>
  <cp:lastModifiedBy/>
  <dcterms:modified xsi:type="dcterms:W3CDTF">2026-10-05T06:17:30Z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