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<sst xmlns="http://schemas.openxmlformats.org/spreadsheetml/2006/main" count="163" uniqueCount="159">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</sst>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1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0.2048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1.125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0.0128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0.0192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</v>
      </c>
    </row>
    <row r="32" customFormat="false" ht="15" hidden="false" customHeight="false" outlineLevel="0" collapsed="false">
      <c r="A32" s="0" t="n">
        <v>2</v>
      </c>
      <c r="B32" s="6" t="n">
        <v>0</v>
      </c>
    </row>
    <row r="33" customFormat="false" ht="15" hidden="false" customHeight="false" outlineLevel="0" collapsed="false">
      <c r="A33" s="0" t="n">
        <v>3</v>
      </c>
      <c r="B33" s="6" t="n">
        <v>0</v>
      </c>
    </row>
    <row r="34" customFormat="false" ht="15" hidden="false" customHeight="false" outlineLevel="0" collapsed="false">
      <c r="A34" s="0" t="n">
        <v>4</v>
      </c>
      <c r="B34" s="6" t="n">
        <v>0</v>
      </c>
    </row>
    <row r="35" customFormat="false" ht="15" hidden="false" customHeight="false" outlineLevel="0" collapsed="false">
      <c r="A35" s="0" t="n">
        <v>5</v>
      </c>
      <c r="B35" s="6" t="n">
        <v>0</v>
      </c>
    </row>
    <row r="36" customFormat="false" ht="15" hidden="false" customHeight="false" outlineLevel="0" collapsed="false">
      <c r="A36" s="0" t="n">
        <v>6</v>
      </c>
      <c r="B36" s="6" t="n">
        <v>0</v>
      </c>
    </row>
    <row r="37" customFormat="false" ht="15" hidden="false" customHeight="false" outlineLevel="0" collapsed="false">
      <c r="A37" s="0" t="n">
        <v>7</v>
      </c>
      <c r="B37" s="6" t="n">
        <v>0</v>
      </c>
    </row>
    <row r="38" customFormat="false" ht="15" hidden="false" customHeight="false" outlineLevel="0" collapsed="false">
      <c r="A38" s="0" t="n">
        <v>8</v>
      </c>
      <c r="B38" s="6" t="n">
        <v>0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0.0512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0.0512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0.0512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0.0512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0.0512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0.0512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0.0512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0.0512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0.0512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0.0512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0.0512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0.0512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0.0512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0.0512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0.0512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0.0512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0.0512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0.0512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0.0512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0.0512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0.0512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0.0512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0.0512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0.0512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0.0512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0.0512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0.0512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0.0512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0.0512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0.0512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0.0512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0.0512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0.0512</v>
      </c>
      <c r="K5" s="8" t="n">
        <f aca="false">Inputs!B31</f>
        <v>0</v>
      </c>
      <c r="L5" s="9" t="n">
        <f aca="false">Inputs!$B$9*(1+G5)</f>
        <v>0.2048</v>
      </c>
      <c r="M5" s="9" t="n">
        <f aca="false">L5*H5</f>
        <v>0.0768</v>
      </c>
      <c r="N5" s="9" t="n">
        <f aca="false">L5*I5</f>
        <v>0.0256</v>
      </c>
      <c r="O5" s="9" t="n">
        <f aca="false">M5-N5</f>
        <v>0.0512</v>
      </c>
      <c r="P5" s="8" t="n">
        <f aca="false">H5-I5</f>
        <v>0.25</v>
      </c>
      <c r="Q5" s="9" t="n">
        <f aca="false">L5*K5</f>
        <v>0</v>
      </c>
      <c r="R5" s="9" t="n">
        <f aca="false">Q5-Inputs!$B$10</f>
        <v>0</v>
      </c>
      <c r="S5" s="9" t="n">
        <f aca="false">J5*E5</f>
        <v>0.0510597260273973</v>
      </c>
      <c r="T5" s="9" t="n">
        <f aca="false">O5*E5</f>
        <v>0.0510597260273973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0.0512</v>
      </c>
      <c r="K6" s="8" t="n">
        <f aca="false">Inputs!B32</f>
        <v>0</v>
      </c>
      <c r="L6" s="9" t="n">
        <f aca="false">L5*(1+G6)</f>
        <v>0.2048</v>
      </c>
      <c r="M6" s="9" t="n">
        <f aca="false">L6*H6</f>
        <v>0.0768</v>
      </c>
      <c r="N6" s="9" t="n">
        <f aca="false">L6*I6</f>
        <v>0.0256</v>
      </c>
      <c r="O6" s="9" t="n">
        <f aca="false">M6-N6</f>
        <v>0.0512</v>
      </c>
      <c r="P6" s="8" t="n">
        <f aca="false">H6-I6</f>
        <v>0.25</v>
      </c>
      <c r="Q6" s="9" t="n">
        <f aca="false">L6*K6</f>
        <v>0</v>
      </c>
      <c r="R6" s="9" t="n">
        <f aca="false">Q6-Q5</f>
        <v>0</v>
      </c>
      <c r="S6" s="9" t="n">
        <f aca="false">J6*E6</f>
        <v>0.0512</v>
      </c>
      <c r="T6" s="9" t="n">
        <f aca="false">O6*E6</f>
        <v>0.0512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0.0512</v>
      </c>
      <c r="K7" s="8" t="n">
        <f aca="false">Inputs!B33</f>
        <v>0</v>
      </c>
      <c r="L7" s="9" t="n">
        <f aca="false">L6*(1+G7)</f>
        <v>0.2048</v>
      </c>
      <c r="M7" s="9" t="n">
        <f aca="false">L7*H7</f>
        <v>0.0768</v>
      </c>
      <c r="N7" s="9" t="n">
        <f aca="false">L7*I7</f>
        <v>0.0256</v>
      </c>
      <c r="O7" s="9" t="n">
        <f aca="false">M7-N7</f>
        <v>0.0512</v>
      </c>
      <c r="P7" s="8" t="n">
        <f aca="false">H7-I7</f>
        <v>0.25</v>
      </c>
      <c r="Q7" s="9" t="n">
        <f aca="false">L7*K7</f>
        <v>0</v>
      </c>
      <c r="R7" s="9" t="n">
        <f aca="false">Q7-Q6</f>
        <v>0</v>
      </c>
      <c r="S7" s="9" t="n">
        <f aca="false">J7*E7</f>
        <v>0.0512</v>
      </c>
      <c r="T7" s="9" t="n">
        <f aca="false">O7*E7</f>
        <v>0.0512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0.0512</v>
      </c>
      <c r="K8" s="8" t="n">
        <f aca="false">Inputs!B34</f>
        <v>0</v>
      </c>
      <c r="L8" s="9" t="n">
        <f aca="false">L7*(1+G8)</f>
        <v>0.2048</v>
      </c>
      <c r="M8" s="9" t="n">
        <f aca="false">L8*H8</f>
        <v>0.0768</v>
      </c>
      <c r="N8" s="9" t="n">
        <f aca="false">L8*I8</f>
        <v>0.0256</v>
      </c>
      <c r="O8" s="9" t="n">
        <f aca="false">M8-N8</f>
        <v>0.0512</v>
      </c>
      <c r="P8" s="8" t="n">
        <f aca="false">H8-I8</f>
        <v>0.25</v>
      </c>
      <c r="Q8" s="9" t="n">
        <f aca="false">L8*K8</f>
        <v>0</v>
      </c>
      <c r="R8" s="9" t="n">
        <f aca="false">Q8-Q7</f>
        <v>0</v>
      </c>
      <c r="S8" s="9" t="n">
        <f aca="false">J8*E8</f>
        <v>0.0512</v>
      </c>
      <c r="T8" s="9" t="n">
        <f aca="false">O8*E8</f>
        <v>0.0512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0.0512</v>
      </c>
      <c r="K9" s="8" t="n">
        <f aca="false">Inputs!B35</f>
        <v>0</v>
      </c>
      <c r="L9" s="9" t="n">
        <f aca="false">L8*(1+G9)</f>
        <v>0.2048</v>
      </c>
      <c r="M9" s="9" t="n">
        <f aca="false">L9*H9</f>
        <v>0.0768</v>
      </c>
      <c r="N9" s="9" t="n">
        <f aca="false">L9*I9</f>
        <v>0.0256</v>
      </c>
      <c r="O9" s="9" t="n">
        <f aca="false">M9-N9</f>
        <v>0.0512</v>
      </c>
      <c r="P9" s="8" t="n">
        <f aca="false">H9-I9</f>
        <v>0.25</v>
      </c>
      <c r="Q9" s="9" t="n">
        <f aca="false">L9*K9</f>
        <v>0</v>
      </c>
      <c r="R9" s="9" t="n">
        <f aca="false">Q9-Q8</f>
        <v>0</v>
      </c>
      <c r="S9" s="9" t="n">
        <f aca="false">J9*E9</f>
        <v>0.0512</v>
      </c>
      <c r="T9" s="9" t="n">
        <f aca="false">O9*E9</f>
        <v>0.0512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0.0512</v>
      </c>
      <c r="K10" s="8" t="n">
        <f aca="false">Inputs!B36</f>
        <v>0</v>
      </c>
      <c r="L10" s="9" t="n">
        <f aca="false">L9*(1+G10)</f>
        <v>0.2048</v>
      </c>
      <c r="M10" s="9" t="n">
        <f aca="false">L10*H10</f>
        <v>0.0768</v>
      </c>
      <c r="N10" s="9" t="n">
        <f aca="false">L10*I10</f>
        <v>0.0256</v>
      </c>
      <c r="O10" s="9" t="n">
        <f aca="false">M10-N10</f>
        <v>0.0512</v>
      </c>
      <c r="P10" s="8" t="n">
        <f aca="false">H10-I10</f>
        <v>0.25</v>
      </c>
      <c r="Q10" s="9" t="n">
        <f aca="false">L10*K10</f>
        <v>0</v>
      </c>
      <c r="R10" s="9" t="n">
        <f aca="false">Q10-Q9</f>
        <v>0</v>
      </c>
      <c r="S10" s="9" t="n">
        <f aca="false">J10*E10</f>
        <v>0.0512</v>
      </c>
      <c r="T10" s="9" t="n">
        <f aca="false">O10*E10</f>
        <v>0.0512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0.0512</v>
      </c>
      <c r="K11" s="8" t="n">
        <f aca="false">Inputs!B37</f>
        <v>0</v>
      </c>
      <c r="L11" s="9" t="n">
        <f aca="false">L10*(1+G11)</f>
        <v>0.2048</v>
      </c>
      <c r="M11" s="9" t="n">
        <f aca="false">L11*H11</f>
        <v>0.0768</v>
      </c>
      <c r="N11" s="9" t="n">
        <f aca="false">L11*I11</f>
        <v>0.0256</v>
      </c>
      <c r="O11" s="9" t="n">
        <f aca="false">M11-N11</f>
        <v>0.0512</v>
      </c>
      <c r="P11" s="8" t="n">
        <f aca="false">H11-I11</f>
        <v>0.25</v>
      </c>
      <c r="Q11" s="9" t="n">
        <f aca="false">L11*K11</f>
        <v>0</v>
      </c>
      <c r="R11" s="9" t="n">
        <f aca="false">Q11-Q10</f>
        <v>0</v>
      </c>
      <c r="S11" s="9" t="n">
        <f aca="false">J11*E11</f>
        <v>0.0512</v>
      </c>
      <c r="T11" s="9" t="n">
        <f aca="false">O11*E11</f>
        <v>0.0512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0.0512</v>
      </c>
      <c r="K12" s="8" t="n">
        <f aca="false">Inputs!B38</f>
        <v>0</v>
      </c>
      <c r="L12" s="9" t="n">
        <f aca="false">L11*(1+G12)</f>
        <v>0.2048</v>
      </c>
      <c r="M12" s="9" t="n">
        <f aca="false">L12*H12</f>
        <v>0.0768</v>
      </c>
      <c r="N12" s="9" t="n">
        <f aca="false">L12*I12</f>
        <v>0.0256</v>
      </c>
      <c r="O12" s="9" t="n">
        <f aca="false">M12-N12</f>
        <v>0.0512</v>
      </c>
      <c r="P12" s="8" t="n">
        <f aca="false">H12-I12</f>
        <v>0.25</v>
      </c>
      <c r="Q12" s="9" t="n">
        <f aca="false">L12*K12</f>
        <v>0</v>
      </c>
      <c r="R12" s="9" t="n">
        <f aca="false">Q12-Q11</f>
        <v>0</v>
      </c>
      <c r="S12" s="9" t="n">
        <f aca="false">J12*E12</f>
        <v>0.0512</v>
      </c>
      <c r="T12" s="9" t="n">
        <f aca="false">O12*E12</f>
        <v>0.0512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0.0128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0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0</v>
      </c>
      <c r="O5" s="9" t="n">
        <f aca="false">IF(B5,MAX(L5+M5-N5,0),"")</f>
        <v>0</v>
      </c>
      <c r="P5" s="9" t="n">
        <f aca="false">IF(B5,IF(A5&lt;Inputs!$B$26,MAX(Inputs!$B$24-D5,0),0),"")</f>
        <v>0.0192</v>
      </c>
      <c r="Q5" s="9" t="n">
        <f aca="false">IF(B5,MAX(O5-P5,0),"")</f>
        <v>0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0</v>
      </c>
      <c r="T5" s="9" t="n">
        <f aca="false">IF(R5="ok",MAX(N5+S5-L5-M5,0),"")</f>
        <v>0</v>
      </c>
      <c r="U5" s="9" t="n">
        <f aca="false">IF(R5="ok",D5+S5-M5,"")</f>
        <v>0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0.0128</v>
      </c>
      <c r="AA5" s="9" t="n">
        <f aca="false">IF(R5="ok",U5-V5,"")</f>
        <v>0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0</v>
      </c>
      <c r="C6" s="9" t="str">
        <f aca="false">IF(B6,Z5,"")</f>
        <v/>
      </c>
      <c r="D6" s="9" t="str">
        <f aca="false">IF(B6,AA5,"")</f>
        <v/>
      </c>
      <c r="E6" s="9" t="str">
        <f aca="false">IF(B6,AB5,"")</f>
        <v/>
      </c>
      <c r="F6" s="9" t="str">
        <f aca="false">IF(B6,C6*Inputs!$B$19*Forecast!F6,"")</f>
        <v/>
      </c>
      <c r="G6" s="9" t="str">
        <f aca="false">IF(B6,D6*Inputs!$B$25*Forecast!F6,"")</f>
        <v/>
      </c>
      <c r="H6" s="9" t="str">
        <f aca="false">IF(B6,F6+G6,"")</f>
        <v/>
      </c>
      <c r="I6" s="9" t="str">
        <f aca="false">IF(B6,C6*Inputs!$B$20*Forecast!F6,"")</f>
        <v/>
      </c>
      <c r="J6" s="9" t="str">
        <f aca="false">IF(B6,MAX(Forecast!T6-H6,0)*Inputs!$B$14,"")</f>
        <v/>
      </c>
      <c r="K6" s="9" t="str">
        <f aca="false">IF(B6,Forecast!T6-Forecast!S6-Forecast!R6-J6,"")</f>
        <v/>
      </c>
      <c r="L6" s="9" t="str">
        <f aca="false">IF(B6,IF(A6&gt;=Inputs!$B$23,C6+I6,MIN(C6+I6,Inputs!$B$18*Inputs!$B$21*Forecast!E6)),"")</f>
        <v/>
      </c>
      <c r="M6" s="9" t="str">
        <f aca="false">IF(B6,IF(A6&gt;=Inputs!$B$26,D6,0),"")</f>
        <v/>
      </c>
      <c r="N6" s="9" t="str">
        <f aca="false">IF(B6,E6+K6-H6,"")</f>
        <v/>
      </c>
      <c r="O6" s="9" t="str">
        <f aca="false">IF(B6,MAX(L6+M6-N6,0),"")</f>
        <v/>
      </c>
      <c r="P6" s="9" t="str">
        <f aca="false">IF(B6,IF(A6&lt;Inputs!$B$26,MAX(Inputs!$B$24-D6,0),0),"")</f>
        <v/>
      </c>
      <c r="Q6" s="9" t="str">
        <f aca="false">IF(B6,MAX(O6-P6,0),"")</f>
        <v/>
      </c>
      <c r="R6" s="9" t="str">
        <f aca="false">IF(B6,IF(Q6&gt;0.000000000001*MAX(E6,ABS(Forecast!T6),Forecast!S6,ABS(Forecast!R6),J6,H6,L6+M6,P6),"liquidity_shortfall","ok"),"not_projected")</f>
        <v>not_projected</v>
      </c>
      <c r="S6" s="9" t="str">
        <f aca="false">IF(R6="ok",MIN(O6,P6),"")</f>
        <v/>
      </c>
      <c r="T6" s="9" t="str">
        <f aca="false">IF(R6="ok",MAX(N6+S6-L6-M6,0),"")</f>
        <v/>
      </c>
      <c r="U6" s="9" t="str">
        <f aca="false">IF(R6="ok",D6+S6-M6,"")</f>
        <v/>
      </c>
      <c r="V6" s="9" t="str">
        <f aca="false">IF(R6="ok",MIN(T6,U6),"")</f>
        <v/>
      </c>
      <c r="W6" s="9" t="str">
        <f aca="false">IF(R6="ok",M6+V6,"")</f>
        <v/>
      </c>
      <c r="X6" s="9" t="str">
        <f aca="false">IF(R6="ok",T6-V6,"")</f>
        <v/>
      </c>
      <c r="Y6" s="9" t="str">
        <f aca="false">IF(R6="ok",MIN(X6*Inputs!$B$22,C6+I6-L6),"")</f>
        <v/>
      </c>
      <c r="Z6" s="9" t="str">
        <f aca="false">IF(R6="ok",C6+I6-L6-Y6,"")</f>
        <v/>
      </c>
      <c r="AA6" s="9" t="str">
        <f aca="false">IF(R6="ok",U6-V6,"")</f>
        <v/>
      </c>
      <c r="AB6" s="9" t="str">
        <f aca="false">IF(R6="ok",X6-Y6,"")</f>
        <v/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0</v>
      </c>
      <c r="C7" s="9" t="str">
        <f aca="false">IF(B7,Z6,"")</f>
        <v/>
      </c>
      <c r="D7" s="9" t="str">
        <f aca="false">IF(B7,AA6,"")</f>
        <v/>
      </c>
      <c r="E7" s="9" t="str">
        <f aca="false">IF(B7,AB6,"")</f>
        <v/>
      </c>
      <c r="F7" s="9" t="str">
        <f aca="false">IF(B7,C7*Inputs!$B$19*Forecast!F7,"")</f>
        <v/>
      </c>
      <c r="G7" s="9" t="str">
        <f aca="false">IF(B7,D7*Inputs!$B$25*Forecast!F7,"")</f>
        <v/>
      </c>
      <c r="H7" s="9" t="str">
        <f aca="false">IF(B7,F7+G7,"")</f>
        <v/>
      </c>
      <c r="I7" s="9" t="str">
        <f aca="false">IF(B7,C7*Inputs!$B$20*Forecast!F7,"")</f>
        <v/>
      </c>
      <c r="J7" s="9" t="str">
        <f aca="false">IF(B7,MAX(Forecast!T7-H7,0)*Inputs!$B$14,"")</f>
        <v/>
      </c>
      <c r="K7" s="9" t="str">
        <f aca="false">IF(B7,Forecast!T7-Forecast!S7-Forecast!R7-J7,"")</f>
        <v/>
      </c>
      <c r="L7" s="9" t="str">
        <f aca="false">IF(B7,IF(A7&gt;=Inputs!$B$23,C7+I7,MIN(C7+I7,Inputs!$B$18*Inputs!$B$21*Forecast!E7)),"")</f>
        <v/>
      </c>
      <c r="M7" s="9" t="str">
        <f aca="false">IF(B7,IF(A7&gt;=Inputs!$B$26,D7,0),"")</f>
        <v/>
      </c>
      <c r="N7" s="9" t="str">
        <f aca="false">IF(B7,E7+K7-H7,"")</f>
        <v/>
      </c>
      <c r="O7" s="9" t="str">
        <f aca="false">IF(B7,MAX(L7+M7-N7,0),"")</f>
        <v/>
      </c>
      <c r="P7" s="9" t="str">
        <f aca="false">IF(B7,IF(A7&lt;Inputs!$B$26,MAX(Inputs!$B$24-D7,0),0),"")</f>
        <v/>
      </c>
      <c r="Q7" s="9" t="str">
        <f aca="false">IF(B7,MAX(O7-P7,0),"")</f>
        <v/>
      </c>
      <c r="R7" s="9" t="str">
        <f aca="false">IF(B7,IF(Q7&gt;0.000000000001*MAX(E7,ABS(Forecast!T7),Forecast!S7,ABS(Forecast!R7),J7,H7,L7+M7,P7),"liquidity_shortfall","ok"),"not_projected")</f>
        <v>not_projected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0.0512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0.1024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0.0896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0.0448</v>
      </c>
    </row>
    <row r="9" customFormat="false" ht="15" hidden="false" customHeight="false" outlineLevel="0" collapsed="false">
      <c r="A9" s="0" t="s">
        <v>125</v>
      </c>
      <c r="B9" s="9" t="n">
        <f aca="false">B7-B8</f>
        <v>0.0448</v>
      </c>
    </row>
    <row r="10" customFormat="false" ht="15" hidden="false" customHeight="false" outlineLevel="0" collapsed="false">
      <c r="A10" s="0" t="s">
        <v>126</v>
      </c>
      <c r="B10" s="9" t="n">
        <f aca="false">B7-B11</f>
        <v>0.07616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0.01344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46568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0.997260273972603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ok</v>
      </c>
    </row>
    <row r="17" customFormat="false" ht="15" hidden="false" customHeight="false" outlineLevel="0" collapsed="false">
      <c r="A17" s="0" t="s">
        <v>131</v>
      </c>
      <c r="B17" s="9" t="str">
        <f aca="false">IF(B16="ok","",MATCH("liquidity_shortfall",Debt!R5:R12,0))</f>
        <v/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0</v>
      </c>
    </row>
    <row r="20" customFormat="false" ht="15" hidden="false" customHeight="false" outlineLevel="0" collapsed="false">
      <c r="A20" s="0" t="s">
        <v>133</v>
      </c>
      <c r="B20" s="9" t="n">
        <f aca="false">IF($B$16="ok",INDEX(Forecast!O5:O12,Inputs!$B$8)*Inputs!$B$12,"")</f>
        <v>0.0576</v>
      </c>
    </row>
    <row r="21" customFormat="false" ht="15" hidden="false" customHeight="false" outlineLevel="0" collapsed="false">
      <c r="A21" s="0" t="s">
        <v>134</v>
      </c>
      <c r="B21" s="9" t="n">
        <f aca="false">IF($B$16="ok",MAX(B20,0)*Inputs!$B$13,"")</f>
        <v>0</v>
      </c>
    </row>
    <row r="22" customFormat="false" ht="15" hidden="false" customHeight="false" outlineLevel="0" collapsed="false">
      <c r="A22" s="0" t="s">
        <v>135</v>
      </c>
      <c r="B22" s="9" t="n">
        <f aca="false">IF($B$16="ok",INDEX(Debt!Z5:Z12,Inputs!$B$8)+INDEX(Debt!AA5:AA12,Inputs!$B$8),"")</f>
        <v>0.0128</v>
      </c>
    </row>
    <row r="23" customFormat="false" ht="15" hidden="false" customHeight="false" outlineLevel="0" collapsed="false">
      <c r="A23" s="0" t="s">
        <v>136</v>
      </c>
      <c r="B23" s="9" t="n">
        <f aca="false">IF($B$16="ok",INDEX(Debt!AB5:AB12,Inputs!$B$8),"")</f>
        <v>0</v>
      </c>
    </row>
    <row r="24" customFormat="false" ht="15" hidden="false" customHeight="false" outlineLevel="0" collapsed="false">
      <c r="A24" s="0" t="s">
        <v>137</v>
      </c>
      <c r="B24" s="9" t="n">
        <f aca="false">IF($B$16="ok",B20-B21-B22+B23,"")</f>
        <v>0.0448</v>
      </c>
    </row>
    <row r="25" customFormat="false" ht="15" hidden="false" customHeight="false" outlineLevel="0" collapsed="false">
      <c r="A25" s="0" t="s">
        <v>138</v>
      </c>
      <c r="B25" s="9" t="n">
        <f aca="false">IF($B$16="ok",MAX(B24,0),"")</f>
        <v>0.0448</v>
      </c>
    </row>
    <row r="27" customFormat="false" ht="15" hidden="false" customHeight="false" outlineLevel="0" collapsed="false">
      <c r="A27" s="0" t="s">
        <v>139</v>
      </c>
      <c r="B27" s="9" t="n">
        <f aca="false">IF($B$16="ok",B9*(1+Inputs!$B$17)^B14,"")</f>
        <v>0.0448</v>
      </c>
    </row>
    <row r="28" customFormat="false" ht="15" hidden="false" customHeight="false" outlineLevel="0" collapsed="false">
      <c r="A28" s="0" t="s">
        <v>140</v>
      </c>
      <c r="B28" s="9" t="n">
        <f aca="false">IF($B$16="ok",IF(B25-B27&lt;=0.000000000001*B25,B25,B27),"")</f>
        <v>0.0448</v>
      </c>
    </row>
    <row r="29" customFormat="false" ht="15" hidden="false" customHeight="false" outlineLevel="0" collapsed="false">
      <c r="A29" s="0" t="s">
        <v>141</v>
      </c>
      <c r="B29" s="9" t="n">
        <f aca="false">IF($B$16="ok",B25-B28,"")</f>
        <v>0</v>
      </c>
    </row>
    <row r="30" customFormat="false" ht="15" hidden="false" customHeight="false" outlineLevel="0" collapsed="false">
      <c r="A30" s="0" t="s">
        <v>142</v>
      </c>
      <c r="B30" s="9" t="n">
        <f aca="false">IF($B$16="ok",B28+B29*(1-Inputs!$B$16),"")</f>
        <v>0.0448</v>
      </c>
    </row>
    <row r="31" customFormat="false" ht="15" hidden="false" customHeight="false" outlineLevel="0" collapsed="false">
      <c r="A31" s="0" t="s">
        <v>143</v>
      </c>
      <c r="B31" s="9" t="n">
        <f aca="false">IF($B$16="ok",B29*Inputs!$B$16,"")</f>
        <v>0</v>
      </c>
    </row>
    <row r="33" customFormat="false" ht="15" hidden="false" customHeight="false" outlineLevel="0" collapsed="false">
      <c r="A33" s="0" t="s">
        <v>144</v>
      </c>
      <c r="B33" s="9" t="n">
        <f aca="false">IF(AND($B$16="ok",B7&gt;0),B25/B7,"")</f>
        <v>0.5</v>
      </c>
    </row>
    <row r="34" customFormat="false" ht="15" hidden="false" customHeight="false" outlineLevel="0" collapsed="false">
      <c r="A34" s="0" t="s">
        <v>145</v>
      </c>
      <c r="B34" s="9" t="n">
        <f aca="false">IF(AND($B$16="ok",B10&gt;0),B30/B10,"")</f>
        <v>0.588235294117647</v>
      </c>
    </row>
    <row r="35" customFormat="false" ht="15" hidden="false" customHeight="false" outlineLevel="0" collapsed="false">
      <c r="A35" s="0" t="s">
        <v>146</v>
      </c>
      <c r="B35" s="9" t="n">
        <f aca="false">IF(AND($B$16="ok",B11&gt;0),B31/B11,"")</f>
        <v>0</v>
      </c>
    </row>
    <row r="37" customFormat="false" ht="15" hidden="false" customHeight="false" outlineLevel="0" collapsed="false">
      <c r="A37" s="0" t="s">
        <v>147</v>
      </c>
      <c r="B37" s="8" t="n">
        <f aca="false">IF(AND($B$16="ok",B7&gt;0,B25&gt;0),XIRR(C44:C45,$B$44:$B$45,MAX(-0.999999999999999,EXP(LN(B25/B7)/$B$14)-1)),"")</f>
        <v>-0.500951219280688</v>
      </c>
    </row>
    <row r="38" customFormat="false" ht="15" hidden="false" customHeight="false" outlineLevel="0" collapsed="false">
      <c r="A38" s="0" t="s">
        <v>148</v>
      </c>
      <c r="B38" s="8" t="n">
        <f aca="false">IF(AND($B$16="ok",B10&gt;0,B30&gt;0),XIRR(D44:D45,$B$44:$B$45,MAX(-0.999999999999999,EXP(LN(B30/B10)/$B$14)-1)),"")</f>
        <v>-0.412621592876505</v>
      </c>
    </row>
    <row r="39" customFormat="false" ht="15" hidden="false" customHeight="false" outlineLevel="0" collapsed="false">
      <c r="A39" s="0" t="s">
        <v>149</v>
      </c>
      <c r="B39" s="8" t="str">
        <f aca="false">IF(AND($B$16="ok",B11&gt;0,B31&gt;0),XIRR(E44:E45,$B$44:$B$45,MAX(-0.999999999999999,EXP(LN(B31/B11)/$B$14)-1)),"")</f>
        <v/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-0.0896</v>
      </c>
      <c r="D44" s="9" t="n">
        <f aca="false">-B10</f>
        <v>-0.07616</v>
      </c>
      <c r="E44" s="9" t="n">
        <f aca="false">-B11</f>
        <v>-0.01344</v>
      </c>
    </row>
    <row r="45" customFormat="false" ht="15" hidden="false" customHeight="false" outlineLevel="0" collapsed="false">
      <c r="A45" s="0" t="s">
        <v>156</v>
      </c>
      <c r="B45" s="7" t="n">
        <f aca="false">B13</f>
        <v>46568</v>
      </c>
      <c r="C45" s="9" t="n">
        <f aca="false">IF($B$16="ok",B25,"")</f>
        <v>0.0448</v>
      </c>
      <c r="D45" s="9" t="n">
        <f aca="false">IF($B$16="ok",B30,"")</f>
        <v>0.0448</v>
      </c>
      <c r="E45" s="9" t="n">
        <f aca="false">IF($B$16="ok",B31,"")</f>
        <v>0</v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2026-10-05T06:17:14Z</dcterms:created>
  <dc:creator>Pierre LBO One</dc:creator>
  <dc:description>Explicit Excel formulas; GBP thousands; ACT/365 interest.</dc:description>
  <dc:language>en-GB</dc:language>
  <cp:lastModifiedBy/>
  <dcterms:modified xsi:type="dcterms:W3CDTF">2026-10-05T06:17:14Z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