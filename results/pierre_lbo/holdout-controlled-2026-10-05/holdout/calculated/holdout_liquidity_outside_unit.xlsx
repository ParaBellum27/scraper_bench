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<sst xmlns="http://schemas.openxmlformats.org/spreadsheetml/2006/main" count="163" uniqueCount="159">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</sst>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32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0.0156250000012466</v>
      </c>
    </row>
    <row r="32" customFormat="false" ht="15" hidden="false" customHeight="false" outlineLevel="0" collapsed="false">
      <c r="A32" s="0" t="n">
        <v>2</v>
      </c>
      <c r="B32" s="6" t="n">
        <v>0.0156250000012466</v>
      </c>
    </row>
    <row r="33" customFormat="false" ht="15" hidden="false" customHeight="false" outlineLevel="0" collapsed="false">
      <c r="A33" s="0" t="n">
        <v>3</v>
      </c>
      <c r="B33" s="6" t="n">
        <v>0.0156250000012466</v>
      </c>
    </row>
    <row r="34" customFormat="false" ht="15" hidden="false" customHeight="false" outlineLevel="0" collapsed="false">
      <c r="A34" s="0" t="n">
        <v>4</v>
      </c>
      <c r="B34" s="6" t="n">
        <v>0.0156250000012466</v>
      </c>
    </row>
    <row r="35" customFormat="false" ht="15" hidden="false" customHeight="false" outlineLevel="0" collapsed="false">
      <c r="A35" s="0" t="n">
        <v>5</v>
      </c>
      <c r="B35" s="6" t="n">
        <v>0.0156250000012466</v>
      </c>
    </row>
    <row r="36" customFormat="false" ht="15" hidden="false" customHeight="false" outlineLevel="0" collapsed="false">
      <c r="A36" s="0" t="n">
        <v>6</v>
      </c>
      <c r="B36" s="6" t="n">
        <v>0.0156250000012466</v>
      </c>
    </row>
    <row r="37" customFormat="false" ht="15" hidden="false" customHeight="false" outlineLevel="0" collapsed="false">
      <c r="A37" s="0" t="n">
        <v>7</v>
      </c>
      <c r="B37" s="6" t="n">
        <v>0.0156250000012466</v>
      </c>
    </row>
    <row r="38" customFormat="false" ht="15" hidden="false" customHeight="false" outlineLevel="0" collapsed="false">
      <c r="A38" s="0" t="n">
        <v>8</v>
      </c>
      <c r="B38" s="6" t="n">
        <v>0.0156250000012466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0.0156250000012466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32.000000002553</v>
      </c>
      <c r="R5" s="9" t="n">
        <f aca="false">Q5-Inputs!$B$10</f>
        <v>32.000000002553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0.0156250000012466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32.000000002553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0.0156250000012466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32.000000002553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0.0156250000012466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32.000000002553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0.0156250000012466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32.000000002553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0.0156250000012466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32.000000002553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0.0156250000012466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32.000000002553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0.0156250000012466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32.000000002553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-32.000000002553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-32.000000002553</v>
      </c>
      <c r="O5" s="9" t="n">
        <f aca="false">IF(B5,MAX(L5+M5-N5,0),"")</f>
        <v>32.000000002553</v>
      </c>
      <c r="P5" s="9" t="n">
        <f aca="false">IF(B5,IF(A5&lt;Inputs!$B$26,MAX(Inputs!$B$24-D5,0),0),"")</f>
        <v>32</v>
      </c>
      <c r="Q5" s="9" t="n">
        <f aca="false">IF(B5,MAX(O5-P5,0),"")</f>
        <v>2.55299426044076E-009</v>
      </c>
      <c r="R5" s="9" t="str">
        <f aca="false">IF(B5,IF(Q5&gt;0.000000000001*MAX(E5,ABS(Forecast!T5),Forecast!S5,ABS(Forecast!R5),J5,H5,L5+M5,P5),"liquidity_shortfall","ok"),"not_projected")</f>
        <v>liquidity_shortfall</v>
      </c>
      <c r="S5" s="9" t="str">
        <f aca="false">IF(R5="ok",MIN(O5,P5),"")</f>
        <v/>
      </c>
      <c r="T5" s="9" t="str">
        <f aca="false">IF(R5="ok",MAX(N5+S5-L5-M5,0),"")</f>
        <v/>
      </c>
      <c r="U5" s="9" t="str">
        <f aca="false">IF(R5="ok",D5+S5-M5,"")</f>
        <v/>
      </c>
      <c r="V5" s="9" t="str">
        <f aca="false">IF(R5="ok",MIN(T5,U5),"")</f>
        <v/>
      </c>
      <c r="W5" s="9" t="str">
        <f aca="false">IF(R5="ok",M5+V5,"")</f>
        <v/>
      </c>
      <c r="X5" s="9" t="str">
        <f aca="false">IF(R5="ok",T5-V5,"")</f>
        <v/>
      </c>
      <c r="Y5" s="9" t="str">
        <f aca="false">IF(R5="ok",MIN(X5*Inputs!$B$22,C5+I5-L5),"")</f>
        <v/>
      </c>
      <c r="Z5" s="9" t="str">
        <f aca="false">IF(R5="ok",C5+I5-L5-Y5,"")</f>
        <v/>
      </c>
      <c r="AA5" s="9" t="str">
        <f aca="false">IF(R5="ok",U5-V5,"")</f>
        <v/>
      </c>
      <c r="AB5" s="9" t="str">
        <f aca="false">IF(R5="ok",X5-Y5,"")</f>
        <v/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liquidity_shortfall</v>
      </c>
    </row>
    <row r="17" customFormat="false" ht="15" hidden="false" customHeight="false" outlineLevel="0" collapsed="false">
      <c r="A17" s="0" t="s">
        <v>131</v>
      </c>
      <c r="B17" s="9" t="n">
        <f aca="false">IF(B16="ok","",MATCH("liquidity_shortfall",Debt!R5:R12,0))</f>
        <v>1</v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2.55299426044076E-009</v>
      </c>
    </row>
    <row r="20" customFormat="false" ht="15" hidden="false" customHeight="false" outlineLevel="0" collapsed="false">
      <c r="A20" s="0" t="s">
        <v>133</v>
      </c>
      <c r="B20" s="9" t="str">
        <f aca="false">IF($B$16="ok",INDEX(Forecast!O5:O12,Inputs!$B$8)*Inputs!$B$12,"")</f>
        <v/>
      </c>
    </row>
    <row r="21" customFormat="false" ht="15" hidden="false" customHeight="false" outlineLevel="0" collapsed="false">
      <c r="A21" s="0" t="s">
        <v>134</v>
      </c>
      <c r="B21" s="9" t="str">
        <f aca="false">IF($B$16="ok",MAX(B20,0)*Inputs!$B$13,"")</f>
        <v/>
      </c>
    </row>
    <row r="22" customFormat="false" ht="15" hidden="false" customHeight="false" outlineLevel="0" collapsed="false">
      <c r="A22" s="0" t="s">
        <v>135</v>
      </c>
      <c r="B22" s="9" t="str">
        <f aca="false">IF($B$16="ok",INDEX(Debt!Z5:Z12,Inputs!$B$8)+INDEX(Debt!AA5:AA12,Inputs!$B$8),"")</f>
        <v/>
      </c>
    </row>
    <row r="23" customFormat="false" ht="15" hidden="false" customHeight="false" outlineLevel="0" collapsed="false">
      <c r="A23" s="0" t="s">
        <v>136</v>
      </c>
      <c r="B23" s="9" t="str">
        <f aca="false">IF($B$16="ok",INDEX(Debt!AB5:AB12,Inputs!$B$8),"")</f>
        <v/>
      </c>
    </row>
    <row r="24" customFormat="false" ht="15" hidden="false" customHeight="false" outlineLevel="0" collapsed="false">
      <c r="A24" s="0" t="s">
        <v>137</v>
      </c>
      <c r="B24" s="9" t="str">
        <f aca="false">IF($B$16="ok",B20-B21-B22+B23,"")</f>
        <v/>
      </c>
    </row>
    <row r="25" customFormat="false" ht="15" hidden="false" customHeight="false" outlineLevel="0" collapsed="false">
      <c r="A25" s="0" t="s">
        <v>138</v>
      </c>
      <c r="B25" s="9" t="str">
        <f aca="false">IF($B$16="ok",MAX(B24,0),"")</f>
        <v/>
      </c>
    </row>
    <row r="27" customFormat="false" ht="15" hidden="false" customHeight="false" outlineLevel="0" collapsed="false">
      <c r="A27" s="0" t="s">
        <v>139</v>
      </c>
      <c r="B27" s="9" t="str">
        <f aca="false">IF($B$16="ok",B9*(1+Inputs!$B$17)^B14,"")</f>
        <v/>
      </c>
    </row>
    <row r="28" customFormat="false" ht="15" hidden="false" customHeight="false" outlineLevel="0" collapsed="false">
      <c r="A28" s="0" t="s">
        <v>140</v>
      </c>
      <c r="B28" s="9" t="str">
        <f aca="false">IF($B$16="ok",IF(B25-B27&lt;=0.000000000001*B25,B25,B27),"")</f>
        <v/>
      </c>
    </row>
    <row r="29" customFormat="false" ht="15" hidden="false" customHeight="false" outlineLevel="0" collapsed="false">
      <c r="A29" s="0" t="s">
        <v>141</v>
      </c>
      <c r="B29" s="9" t="str">
        <f aca="false">IF($B$16="ok",B25-B28,"")</f>
        <v/>
      </c>
    </row>
    <row r="30" customFormat="false" ht="15" hidden="false" customHeight="false" outlineLevel="0" collapsed="false">
      <c r="A30" s="0" t="s">
        <v>142</v>
      </c>
      <c r="B30" s="9" t="str">
        <f aca="false">IF($B$16="ok",B28+B29*(1-Inputs!$B$16),"")</f>
        <v/>
      </c>
    </row>
    <row r="31" customFormat="false" ht="15" hidden="false" customHeight="false" outlineLevel="0" collapsed="false">
      <c r="A31" s="0" t="s">
        <v>143</v>
      </c>
      <c r="B31" s="9" t="str">
        <f aca="false">IF($B$16="ok",B29*Inputs!$B$16,"")</f>
        <v/>
      </c>
    </row>
    <row r="33" customFormat="false" ht="15" hidden="false" customHeight="false" outlineLevel="0" collapsed="false">
      <c r="A33" s="0" t="s">
        <v>144</v>
      </c>
      <c r="B33" s="9" t="str">
        <f aca="false">IF(AND($B$16="ok",B7&gt;0),B25/B7,"")</f>
        <v/>
      </c>
    </row>
    <row r="34" customFormat="false" ht="15" hidden="false" customHeight="false" outlineLevel="0" collapsed="false">
      <c r="A34" s="0" t="s">
        <v>145</v>
      </c>
      <c r="B34" s="9" t="str">
        <f aca="false">IF(AND($B$16="ok",B10&gt;0),B30/B10,"")</f>
        <v/>
      </c>
    </row>
    <row r="35" customFormat="false" ht="15" hidden="false" customHeight="false" outlineLevel="0" collapsed="false">
      <c r="A35" s="0" t="s">
        <v>146</v>
      </c>
      <c r="B35" s="9" t="str">
        <f aca="false">IF(AND($B$16="ok",B11&gt;0),B31/B11,"")</f>
        <v/>
      </c>
    </row>
    <row r="37" customFormat="false" ht="15" hidden="false" customHeight="false" outlineLevel="0" collapsed="false">
      <c r="A37" s="0" t="s">
        <v>147</v>
      </c>
      <c r="B37" s="8" t="str">
        <f aca="false">IF(AND($B$16="ok",B7&gt;0,B25&gt;0),XIRR(C44:C45,$B$44:$B$45,MAX(-0.999999999999999,EXP(LN(B25/B7)/$B$14)-1)),"")</f>
        <v/>
      </c>
    </row>
    <row r="38" customFormat="false" ht="15" hidden="false" customHeight="false" outlineLevel="0" collapsed="false">
      <c r="A38" s="0" t="s">
        <v>148</v>
      </c>
      <c r="B38" s="8" t="str">
        <f aca="false">IF(AND($B$16="ok",B10&gt;0,B30&gt;0),XIRR(D44:D45,$B$44:$B$45,MAX(-0.999999999999999,EXP(LN(B30/B10)/$B$14)-1)),"")</f>
        <v/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str">
        <f aca="false">IF($B$16="ok",B25,"")</f>
        <v/>
      </c>
      <c r="D45" s="9" t="str">
        <f aca="false">IF($B$16="ok",B30,"")</f>
        <v/>
      </c>
      <c r="E45" s="9" t="str">
        <f aca="false">IF($B$16="ok",B31,"")</f>
        <v/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2026-10-05T06:17:18Z</dcterms:created>
  <dc:creator>Pierre LBO One</dc:creator>
  <dc:description>Explicit Excel formulas; GBP thousands; ACT/365 interest.</dc:description>
  <dc:language>en-GB</dc:language>
  <cp:lastModifiedBy/>
  <dcterms:modified xsi:type="dcterms:W3CDTF">2026-10-05T06:17:18Z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