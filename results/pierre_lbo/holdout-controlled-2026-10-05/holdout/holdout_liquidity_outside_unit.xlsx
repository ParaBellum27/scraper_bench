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s" sheetId="1" state="visible" r:id="rId1"/>
    <sheet name="Scenarios" sheetId="2" state="visible" r:id="rId2"/>
    <sheet name="Forecast" sheetId="3" state="visible" r:id="rId3"/>
    <sheet name="Debt" sheetId="4" state="visible" r:id="rId4"/>
    <sheet name="Returns" sheetId="5" state="visible" r:id="rId5"/>
  </sheets>
  <definedNames>
    <definedName name="_xlnm._FilterDatabase" localSheetId="1" hidden="1">'Scenarios'!$A$4:$F$36</definedName>
  </definedNames>
  <calcPr calcId="0" calcMode="auto" fullCalcOnLoad="1" calcOnSave="1" forceFullCalc="1"/>
</workbook>
</file>

<file path=xl/styles.xml><?xml version="1.0" encoding="utf-8"?>
<styleSheet xmlns="http://schemas.openxmlformats.org/spreadsheetml/2006/main">
  <numFmts count="3">
    <numFmt numFmtId="164" formatCode="#,##0.000000;[Red](#,##0.000000);0.000000"/>
    <numFmt numFmtId="165" formatCode="yyyy-mm-dd"/>
    <numFmt numFmtId="166" formatCode="0.000000%"/>
  </numFmts>
  <fonts count="5">
    <font>
      <name val="Calibri"/>
      <family val="2"/>
      <color theme="1"/>
      <sz val="11"/>
      <scheme val="minor"/>
    </font>
    <font>
      <b val="1"/>
      <color rgb="0017365D"/>
      <sz val="16"/>
    </font>
    <font>
      <b val="1"/>
      <color rgb="00FFFFFF"/>
    </font>
    <font>
      <color rgb="000000FF"/>
    </font>
    <font>
      <color rgb="00000000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center" wrapText="1"/>
    </xf>
    <xf numFmtId="1" fontId="3" fillId="0" borderId="0" pivotButton="0" quotePrefix="0" xfId="0"/>
    <xf numFmtId="165" fontId="3" fillId="0" borderId="0" pivotButton="0" quotePrefix="0" xfId="0"/>
    <xf numFmtId="164" fontId="3" fillId="0" borderId="0" pivotButton="0" quotePrefix="0" xfId="0"/>
    <xf numFmtId="166" fontId="3" fillId="0" borderId="0" pivotButton="0" quotePrefix="0" xfId="0"/>
    <xf numFmtId="165" fontId="4" fillId="0" borderId="0" pivotButton="0" quotePrefix="0" xfId="0"/>
    <xf numFmtId="166" fontId="4" fillId="0" borderId="0" pivotButton="0" quotePrefix="0" xfId="0"/>
    <xf numFmtId="164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4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22" customWidth="1" min="2" max="2"/>
    <col width="88" customWidth="1" min="3" max="3"/>
  </cols>
  <sheetData>
    <row r="1">
      <c r="A1" s="1" t="inlineStr">
        <is>
          <t>Pierre LBO One — inputs</t>
        </is>
      </c>
    </row>
    <row r="4" ht="44" customHeight="1">
      <c r="A4" s="2" t="inlineStr">
        <is>
          <t>Input path</t>
        </is>
      </c>
      <c r="B4" s="2" t="inlineStr">
        <is>
          <t>Value</t>
        </is>
      </c>
      <c r="C4" s="2" t="inlineStr">
        <is>
          <t>Definition</t>
        </is>
      </c>
    </row>
    <row r="5">
      <c r="A5" t="inlineStr">
        <is>
          <t>case</t>
        </is>
      </c>
      <c r="B5" s="3" t="n">
        <v>1</v>
      </c>
      <c r="C5" t="inlineStr">
        <is>
          <t>Scenario selector: integer 1–4</t>
        </is>
      </c>
    </row>
    <row r="6">
      <c r="A6" t="inlineStr">
        <is>
          <t>last_fiscal_year_end</t>
        </is>
      </c>
      <c r="B6" s="4" t="n">
        <v>46203</v>
      </c>
      <c r="C6" t="inlineStr">
        <is>
          <t>ISO date; successive fiscal ends use EDATE(previous,12)</t>
        </is>
      </c>
    </row>
    <row r="7">
      <c r="A7" t="inlineStr">
        <is>
          <t>deal_date</t>
        </is>
      </c>
      <c r="B7" s="4" t="n">
        <v>46204</v>
      </c>
      <c r="C7" t="inlineStr">
        <is>
          <t>ISO closing date, strictly within the first fiscal period</t>
        </is>
      </c>
    </row>
    <row r="8">
      <c r="A8" t="inlineStr">
        <is>
          <t>exit_period</t>
        </is>
      </c>
      <c r="B8" s="3" t="n">
        <v>1</v>
      </c>
      <c r="C8" t="inlineStr">
        <is>
          <t>Forecast period 1–8; first post-close period is 1</t>
        </is>
      </c>
    </row>
    <row r="9">
      <c r="A9" t="inlineStr">
        <is>
          <t>opening_revenue</t>
        </is>
      </c>
      <c r="B9" s="5" t="n">
        <v>2048</v>
      </c>
      <c r="C9" t="inlineStr">
        <is>
          <t>Annual entry assumption, GBP thousands</t>
        </is>
      </c>
    </row>
    <row r="10">
      <c r="A10" t="inlineStr">
        <is>
          <t>opening_working_capital</t>
        </is>
      </c>
      <c r="B10" s="5" t="n">
        <v>0</v>
      </c>
      <c r="C10" t="inlineStr">
        <is>
          <t>Entry working-capital balance, GBP thousands</t>
        </is>
      </c>
    </row>
    <row r="11">
      <c r="A11" t="inlineStr">
        <is>
          <t>entry_multiple</t>
        </is>
      </c>
      <c r="B11" s="5" t="n">
        <v>2</v>
      </c>
      <c r="C11" t="inlineStr">
        <is>
          <t>Multiple of first annual forecast EBITDA</t>
        </is>
      </c>
    </row>
    <row r="12">
      <c r="A12" t="inlineStr">
        <is>
          <t>exit_multiple</t>
        </is>
      </c>
      <c r="B12" s="5" t="n">
        <v>2</v>
      </c>
      <c r="C12" t="inlineStr">
        <is>
          <t>Multiple of exit-period annual EBITDA</t>
        </is>
      </c>
    </row>
    <row r="13">
      <c r="A13" t="inlineStr">
        <is>
          <t>exit_fee_rate</t>
        </is>
      </c>
      <c r="B13" s="6" t="n">
        <v>0</v>
      </c>
      <c r="C13" t="inlineStr">
        <is>
          <t>Fraction of nonnegative exit enterprise value</t>
        </is>
      </c>
    </row>
    <row r="14">
      <c r="A14" t="inlineStr">
        <is>
          <t>tax_rate</t>
        </is>
      </c>
      <c r="B14" s="6" t="n">
        <v>0</v>
      </c>
      <c r="C14" t="inlineStr">
        <is>
          <t>Fraction of positive cash EBITDA less cash interest</t>
        </is>
      </c>
    </row>
    <row r="15">
      <c r="A15" t="inlineStr">
        <is>
          <t>ordinary_equity_fraction</t>
        </is>
      </c>
      <c r="B15" s="6" t="n">
        <v>0.5</v>
      </c>
      <c r="C15" t="inlineStr">
        <is>
          <t>Fraction of entry equity invested in ordinary shares</t>
        </is>
      </c>
    </row>
    <row r="16">
      <c r="A16" t="inlineStr">
        <is>
          <t>management_ordinary_fraction</t>
        </is>
      </c>
      <c r="B16" s="6" t="n">
        <v>0.3</v>
      </c>
      <c r="C16" t="inlineStr">
        <is>
          <t>Management ownership of ordinary shares only</t>
        </is>
      </c>
    </row>
    <row r="17">
      <c r="A17" t="inlineStr">
        <is>
          <t>preferred_pik_rate</t>
        </is>
      </c>
      <c r="B17" s="6" t="n">
        <v>0</v>
      </c>
      <c r="C17" t="inlineStr">
        <is>
          <t>Effective annual preferred accrual, ACT/365</t>
        </is>
      </c>
    </row>
    <row r="18">
      <c r="A18" t="inlineStr">
        <is>
          <t>term_loan.principal</t>
        </is>
      </c>
      <c r="B18" s="5" t="n">
        <v>128</v>
      </c>
      <c r="C18" t="inlineStr">
        <is>
          <t>Entry term loan, GBP thousands</t>
        </is>
      </c>
    </row>
    <row r="19">
      <c r="A19" t="inlineStr">
        <is>
          <t>term_loan.cash_rate</t>
        </is>
      </c>
      <c r="B19" s="6" t="n">
        <v>0</v>
      </c>
      <c r="C19" t="inlineStr">
        <is>
          <t>Annual opening-balance cash interest, ACT/365</t>
        </is>
      </c>
    </row>
    <row r="20">
      <c r="A20" t="inlineStr">
        <is>
          <t>term_loan.pik_rate</t>
        </is>
      </c>
      <c r="B20" s="6" t="n">
        <v>0</v>
      </c>
      <c r="C20" t="inlineStr">
        <is>
          <t>Annual opening-balance PIK, ACT/365</t>
        </is>
      </c>
    </row>
    <row r="21">
      <c r="A21" t="inlineStr">
        <is>
          <t>term_loan.amortization_rate</t>
        </is>
      </c>
      <c r="B21" s="6" t="n">
        <v>0</v>
      </c>
      <c r="C21" t="inlineStr">
        <is>
          <t>Fraction of original principal, operating-period prorated</t>
        </is>
      </c>
    </row>
    <row r="22">
      <c r="A22" t="inlineStr">
        <is>
          <t>term_loan.cash_sweep</t>
        </is>
      </c>
      <c r="B22" s="6" t="n">
        <v>0</v>
      </c>
      <c r="C22" t="inlineStr">
        <is>
          <t>Fraction of cash remaining after all revolver repayments</t>
        </is>
      </c>
    </row>
    <row r="23">
      <c r="A23" t="inlineStr">
        <is>
          <t>term_loan.maturity_period</t>
        </is>
      </c>
      <c r="B23" s="3" t="n">
        <v>12</v>
      </c>
      <c r="C23" t="inlineStr">
        <is>
          <t>Fiscal period bucket; full TLB plus PIK becomes due</t>
        </is>
      </c>
    </row>
    <row r="24">
      <c r="A24" t="inlineStr">
        <is>
          <t>revolver.commitment</t>
        </is>
      </c>
      <c r="B24" s="5" t="n">
        <v>32</v>
      </c>
      <c r="C24" t="inlineStr">
        <is>
          <t>Maximum outstanding revolver, GBP thousands</t>
        </is>
      </c>
    </row>
    <row r="25">
      <c r="A25" t="inlineStr">
        <is>
          <t>revolver.cash_rate</t>
        </is>
      </c>
      <c r="B25" s="6" t="n">
        <v>0</v>
      </c>
      <c r="C25" t="inlineStr">
        <is>
          <t>Annual opening-balance cash interest, ACT/365</t>
        </is>
      </c>
    </row>
    <row r="26">
      <c r="A26" t="inlineStr">
        <is>
          <t>revolver.maturity_period</t>
        </is>
      </c>
      <c r="B26" s="3" t="n">
        <v>12</v>
      </c>
      <c r="C26" t="inlineStr">
        <is>
          <t>Fiscal period bucket; no draws at or after maturity</t>
        </is>
      </c>
    </row>
    <row r="30">
      <c r="A30" t="inlineStr">
        <is>
          <t>Forecast period</t>
        </is>
      </c>
      <c r="B30" t="inlineStr">
        <is>
          <t>working_capital_ratio</t>
        </is>
      </c>
    </row>
    <row r="31">
      <c r="A31" t="n">
        <v>1</v>
      </c>
      <c r="B31" s="6" t="n">
        <v>0.01562500000124658</v>
      </c>
    </row>
    <row r="32">
      <c r="A32" t="n">
        <v>2</v>
      </c>
      <c r="B32" s="6" t="n">
        <v>0.01562500000124658</v>
      </c>
    </row>
    <row r="33">
      <c r="A33" t="n">
        <v>3</v>
      </c>
      <c r="B33" s="6" t="n">
        <v>0.01562500000124658</v>
      </c>
    </row>
    <row r="34">
      <c r="A34" t="n">
        <v>4</v>
      </c>
      <c r="B34" s="6" t="n">
        <v>0.01562500000124658</v>
      </c>
    </row>
    <row r="35">
      <c r="A35" t="n">
        <v>5</v>
      </c>
      <c r="B35" s="6" t="n">
        <v>0.01562500000124658</v>
      </c>
    </row>
    <row r="36">
      <c r="A36" t="n">
        <v>6</v>
      </c>
      <c r="B36" s="6" t="n">
        <v>0.01562500000124658</v>
      </c>
    </row>
    <row r="37">
      <c r="A37" t="n">
        <v>7</v>
      </c>
      <c r="B37" s="6" t="n">
        <v>0.01562500000124658</v>
      </c>
    </row>
    <row r="38">
      <c r="A38" t="n">
        <v>8</v>
      </c>
      <c r="B38" s="6" t="n">
        <v>0.01562500000124658</v>
      </c>
    </row>
    <row r="41">
      <c r="A41" t="inlineStr">
        <is>
          <t>All monetary amounts are GBP thousands. Blue cells are inputs; black cells are formulas.</t>
        </is>
      </c>
    </row>
    <row r="42">
      <c r="A42" t="inlineStr">
        <is>
          <t>Input schema: scalar paths above; working_capital_ratio[8]; scenarios[4] of four 8-element arrays.</t>
        </is>
      </c>
    </row>
    <row r="43">
      <c r="A43" t="inlineStr">
        <is>
          <t>Scenarios columns: revenue_growth, gross_profit_margin, opex_margin, capex (positive expenditure).</t>
        </is>
      </c>
    </row>
    <row r="44">
      <c r="A44" t="inlineStr">
        <is>
          <t>Opening cash and revolver are zero. Entry is funded only by the term loan and equity; no entry fees.</t>
        </is>
      </c>
    </row>
    <row r="45">
      <c r="A45" t="inlineStr">
        <is>
          <t>Annual EBITDA values entry/exit. Cash EBITDA and capex are stubbed; working-capital changes are not.</t>
        </is>
      </c>
    </row>
    <row r="46">
      <c r="A46" t="inlineStr">
        <is>
          <t>No D&amp;A, tax losses/refunds or deduction of PIK/preferred accrual; tax is on positive cash EBITDA less cash interest.</t>
        </is>
      </c>
    </row>
    <row r="47">
      <c r="A47" t="inlineStr">
        <is>
          <t>Interest uses opening debt and ACT/365. Fiscal dates preserve the input day with sequential EDATE(previous,12).</t>
        </is>
      </c>
    </row>
    <row r="48">
      <c r="A48" t="inlineStr">
        <is>
          <t>Revolver is repaid before term-loan cash sweep. Maturity is a fiscal period bucket, not a legal anniversary.</t>
        </is>
      </c>
    </row>
    <row r="49">
      <c r="A49" t="inlineStr">
        <is>
          <t>Financing stops before an infeasible row. Forecast remains planned; exit/return cells become blank (JSON null).</t>
        </is>
      </c>
    </row>
    <row r="50">
      <c r="A50" t="inlineStr">
        <is>
          <t>Preferred belongs only to the sponsor. No interim dividends; zero investment or zero payout has no finite XIRR.</t>
        </is>
      </c>
    </row>
    <row r="51">
      <c r="A51" t="inlineStr">
        <is>
          <t>Liquidity roundoff is 1E-12 times the largest current cash-flow/obligation/capacity operand; no absolute floor.</t>
        </is>
      </c>
    </row>
    <row r="52">
      <c r="A52" t="inlineStr">
        <is>
          <t>At the preferred hurdle, residual &lt;= 1E-12 of equity proceeds is roundoff: all proceeds go to preferred.</t>
        </is>
      </c>
    </row>
    <row r="53">
      <c r="A53" t="inlineStr">
        <is>
          <t>XIRR uses actual dated cash flows; a log-ratio starting guess stabilizes convergence for extreme two-flow returns.</t>
        </is>
      </c>
    </row>
    <row r="54">
      <c r="A54" t="inlineStr">
        <is>
          <t>Recalculate and save in Microsoft Excel before extracting cached outputs. No external links, macros or data tables.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6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Scenario profiles — annual operating assumptions</t>
        </is>
      </c>
    </row>
    <row r="4" ht="44" customHeight="1">
      <c r="A4" s="2" t="inlineStr">
        <is>
          <t>Case</t>
        </is>
      </c>
      <c r="B4" s="2" t="inlineStr">
        <is>
          <t>Period</t>
        </is>
      </c>
      <c r="C4" s="2" t="inlineStr">
        <is>
          <t>revenue_growth</t>
        </is>
      </c>
      <c r="D4" s="2" t="inlineStr">
        <is>
          <t>gross_profit_margin</t>
        </is>
      </c>
      <c r="E4" s="2" t="inlineStr">
        <is>
          <t>opex_margin</t>
        </is>
      </c>
      <c r="F4" s="2" t="inlineStr">
        <is>
          <t>capex</t>
        </is>
      </c>
    </row>
    <row r="5">
      <c r="A5" t="n">
        <v>1</v>
      </c>
      <c r="B5" t="n">
        <v>1</v>
      </c>
      <c r="C5" s="6" t="n">
        <v>0</v>
      </c>
      <c r="D5" s="6" t="n">
        <v>0.375</v>
      </c>
      <c r="E5" s="6" t="n">
        <v>0.125</v>
      </c>
      <c r="F5" s="5" t="n">
        <v>512</v>
      </c>
    </row>
    <row r="6">
      <c r="A6" t="n">
        <v>1</v>
      </c>
      <c r="B6" t="n">
        <v>2</v>
      </c>
      <c r="C6" s="6" t="n">
        <v>0</v>
      </c>
      <c r="D6" s="6" t="n">
        <v>0.375</v>
      </c>
      <c r="E6" s="6" t="n">
        <v>0.125</v>
      </c>
      <c r="F6" s="5" t="n">
        <v>512</v>
      </c>
    </row>
    <row r="7">
      <c r="A7" t="n">
        <v>1</v>
      </c>
      <c r="B7" t="n">
        <v>3</v>
      </c>
      <c r="C7" s="6" t="n">
        <v>0</v>
      </c>
      <c r="D7" s="6" t="n">
        <v>0.375</v>
      </c>
      <c r="E7" s="6" t="n">
        <v>0.125</v>
      </c>
      <c r="F7" s="5" t="n">
        <v>512</v>
      </c>
    </row>
    <row r="8">
      <c r="A8" t="n">
        <v>1</v>
      </c>
      <c r="B8" t="n">
        <v>4</v>
      </c>
      <c r="C8" s="6" t="n">
        <v>0</v>
      </c>
      <c r="D8" s="6" t="n">
        <v>0.375</v>
      </c>
      <c r="E8" s="6" t="n">
        <v>0.125</v>
      </c>
      <c r="F8" s="5" t="n">
        <v>512</v>
      </c>
    </row>
    <row r="9">
      <c r="A9" t="n">
        <v>1</v>
      </c>
      <c r="B9" t="n">
        <v>5</v>
      </c>
      <c r="C9" s="6" t="n">
        <v>0</v>
      </c>
      <c r="D9" s="6" t="n">
        <v>0.375</v>
      </c>
      <c r="E9" s="6" t="n">
        <v>0.125</v>
      </c>
      <c r="F9" s="5" t="n">
        <v>512</v>
      </c>
    </row>
    <row r="10">
      <c r="A10" t="n">
        <v>1</v>
      </c>
      <c r="B10" t="n">
        <v>6</v>
      </c>
      <c r="C10" s="6" t="n">
        <v>0</v>
      </c>
      <c r="D10" s="6" t="n">
        <v>0.375</v>
      </c>
      <c r="E10" s="6" t="n">
        <v>0.125</v>
      </c>
      <c r="F10" s="5" t="n">
        <v>512</v>
      </c>
    </row>
    <row r="11">
      <c r="A11" t="n">
        <v>1</v>
      </c>
      <c r="B11" t="n">
        <v>7</v>
      </c>
      <c r="C11" s="6" t="n">
        <v>0</v>
      </c>
      <c r="D11" s="6" t="n">
        <v>0.375</v>
      </c>
      <c r="E11" s="6" t="n">
        <v>0.125</v>
      </c>
      <c r="F11" s="5" t="n">
        <v>512</v>
      </c>
    </row>
    <row r="12">
      <c r="A12" t="n">
        <v>1</v>
      </c>
      <c r="B12" t="n">
        <v>8</v>
      </c>
      <c r="C12" s="6" t="n">
        <v>0</v>
      </c>
      <c r="D12" s="6" t="n">
        <v>0.375</v>
      </c>
      <c r="E12" s="6" t="n">
        <v>0.125</v>
      </c>
      <c r="F12" s="5" t="n">
        <v>512</v>
      </c>
    </row>
    <row r="13">
      <c r="A13" t="n">
        <v>2</v>
      </c>
      <c r="B13" t="n">
        <v>1</v>
      </c>
      <c r="C13" s="6" t="n">
        <v>0</v>
      </c>
      <c r="D13" s="6" t="n">
        <v>0.375</v>
      </c>
      <c r="E13" s="6" t="n">
        <v>0.125</v>
      </c>
      <c r="F13" s="5" t="n">
        <v>512</v>
      </c>
    </row>
    <row r="14">
      <c r="A14" t="n">
        <v>2</v>
      </c>
      <c r="B14" t="n">
        <v>2</v>
      </c>
      <c r="C14" s="6" t="n">
        <v>0</v>
      </c>
      <c r="D14" s="6" t="n">
        <v>0.375</v>
      </c>
      <c r="E14" s="6" t="n">
        <v>0.125</v>
      </c>
      <c r="F14" s="5" t="n">
        <v>512</v>
      </c>
    </row>
    <row r="15">
      <c r="A15" t="n">
        <v>2</v>
      </c>
      <c r="B15" t="n">
        <v>3</v>
      </c>
      <c r="C15" s="6" t="n">
        <v>0</v>
      </c>
      <c r="D15" s="6" t="n">
        <v>0.375</v>
      </c>
      <c r="E15" s="6" t="n">
        <v>0.125</v>
      </c>
      <c r="F15" s="5" t="n">
        <v>512</v>
      </c>
    </row>
    <row r="16">
      <c r="A16" t="n">
        <v>2</v>
      </c>
      <c r="B16" t="n">
        <v>4</v>
      </c>
      <c r="C16" s="6" t="n">
        <v>0</v>
      </c>
      <c r="D16" s="6" t="n">
        <v>0.375</v>
      </c>
      <c r="E16" s="6" t="n">
        <v>0.125</v>
      </c>
      <c r="F16" s="5" t="n">
        <v>512</v>
      </c>
    </row>
    <row r="17">
      <c r="A17" t="n">
        <v>2</v>
      </c>
      <c r="B17" t="n">
        <v>5</v>
      </c>
      <c r="C17" s="6" t="n">
        <v>0</v>
      </c>
      <c r="D17" s="6" t="n">
        <v>0.375</v>
      </c>
      <c r="E17" s="6" t="n">
        <v>0.125</v>
      </c>
      <c r="F17" s="5" t="n">
        <v>512</v>
      </c>
    </row>
    <row r="18">
      <c r="A18" t="n">
        <v>2</v>
      </c>
      <c r="B18" t="n">
        <v>6</v>
      </c>
      <c r="C18" s="6" t="n">
        <v>0</v>
      </c>
      <c r="D18" s="6" t="n">
        <v>0.375</v>
      </c>
      <c r="E18" s="6" t="n">
        <v>0.125</v>
      </c>
      <c r="F18" s="5" t="n">
        <v>512</v>
      </c>
    </row>
    <row r="19">
      <c r="A19" t="n">
        <v>2</v>
      </c>
      <c r="B19" t="n">
        <v>7</v>
      </c>
      <c r="C19" s="6" t="n">
        <v>0</v>
      </c>
      <c r="D19" s="6" t="n">
        <v>0.375</v>
      </c>
      <c r="E19" s="6" t="n">
        <v>0.125</v>
      </c>
      <c r="F19" s="5" t="n">
        <v>512</v>
      </c>
    </row>
    <row r="20">
      <c r="A20" t="n">
        <v>2</v>
      </c>
      <c r="B20" t="n">
        <v>8</v>
      </c>
      <c r="C20" s="6" t="n">
        <v>0</v>
      </c>
      <c r="D20" s="6" t="n">
        <v>0.375</v>
      </c>
      <c r="E20" s="6" t="n">
        <v>0.125</v>
      </c>
      <c r="F20" s="5" t="n">
        <v>512</v>
      </c>
    </row>
    <row r="21">
      <c r="A21" t="n">
        <v>3</v>
      </c>
      <c r="B21" t="n">
        <v>1</v>
      </c>
      <c r="C21" s="6" t="n">
        <v>0</v>
      </c>
      <c r="D21" s="6" t="n">
        <v>0.375</v>
      </c>
      <c r="E21" s="6" t="n">
        <v>0.125</v>
      </c>
      <c r="F21" s="5" t="n">
        <v>512</v>
      </c>
    </row>
    <row r="22">
      <c r="A22" t="n">
        <v>3</v>
      </c>
      <c r="B22" t="n">
        <v>2</v>
      </c>
      <c r="C22" s="6" t="n">
        <v>0</v>
      </c>
      <c r="D22" s="6" t="n">
        <v>0.375</v>
      </c>
      <c r="E22" s="6" t="n">
        <v>0.125</v>
      </c>
      <c r="F22" s="5" t="n">
        <v>512</v>
      </c>
    </row>
    <row r="23">
      <c r="A23" t="n">
        <v>3</v>
      </c>
      <c r="B23" t="n">
        <v>3</v>
      </c>
      <c r="C23" s="6" t="n">
        <v>0</v>
      </c>
      <c r="D23" s="6" t="n">
        <v>0.375</v>
      </c>
      <c r="E23" s="6" t="n">
        <v>0.125</v>
      </c>
      <c r="F23" s="5" t="n">
        <v>512</v>
      </c>
    </row>
    <row r="24">
      <c r="A24" t="n">
        <v>3</v>
      </c>
      <c r="B24" t="n">
        <v>4</v>
      </c>
      <c r="C24" s="6" t="n">
        <v>0</v>
      </c>
      <c r="D24" s="6" t="n">
        <v>0.375</v>
      </c>
      <c r="E24" s="6" t="n">
        <v>0.125</v>
      </c>
      <c r="F24" s="5" t="n">
        <v>512</v>
      </c>
    </row>
    <row r="25">
      <c r="A25" t="n">
        <v>3</v>
      </c>
      <c r="B25" t="n">
        <v>5</v>
      </c>
      <c r="C25" s="6" t="n">
        <v>0</v>
      </c>
      <c r="D25" s="6" t="n">
        <v>0.375</v>
      </c>
      <c r="E25" s="6" t="n">
        <v>0.125</v>
      </c>
      <c r="F25" s="5" t="n">
        <v>512</v>
      </c>
    </row>
    <row r="26">
      <c r="A26" t="n">
        <v>3</v>
      </c>
      <c r="B26" t="n">
        <v>6</v>
      </c>
      <c r="C26" s="6" t="n">
        <v>0</v>
      </c>
      <c r="D26" s="6" t="n">
        <v>0.375</v>
      </c>
      <c r="E26" s="6" t="n">
        <v>0.125</v>
      </c>
      <c r="F26" s="5" t="n">
        <v>512</v>
      </c>
    </row>
    <row r="27">
      <c r="A27" t="n">
        <v>3</v>
      </c>
      <c r="B27" t="n">
        <v>7</v>
      </c>
      <c r="C27" s="6" t="n">
        <v>0</v>
      </c>
      <c r="D27" s="6" t="n">
        <v>0.375</v>
      </c>
      <c r="E27" s="6" t="n">
        <v>0.125</v>
      </c>
      <c r="F27" s="5" t="n">
        <v>512</v>
      </c>
    </row>
    <row r="28">
      <c r="A28" t="n">
        <v>3</v>
      </c>
      <c r="B28" t="n">
        <v>8</v>
      </c>
      <c r="C28" s="6" t="n">
        <v>0</v>
      </c>
      <c r="D28" s="6" t="n">
        <v>0.375</v>
      </c>
      <c r="E28" s="6" t="n">
        <v>0.125</v>
      </c>
      <c r="F28" s="5" t="n">
        <v>512</v>
      </c>
    </row>
    <row r="29">
      <c r="A29" t="n">
        <v>4</v>
      </c>
      <c r="B29" t="n">
        <v>1</v>
      </c>
      <c r="C29" s="6" t="n">
        <v>0</v>
      </c>
      <c r="D29" s="6" t="n">
        <v>0.375</v>
      </c>
      <c r="E29" s="6" t="n">
        <v>0.125</v>
      </c>
      <c r="F29" s="5" t="n">
        <v>512</v>
      </c>
    </row>
    <row r="30">
      <c r="A30" t="n">
        <v>4</v>
      </c>
      <c r="B30" t="n">
        <v>2</v>
      </c>
      <c r="C30" s="6" t="n">
        <v>0</v>
      </c>
      <c r="D30" s="6" t="n">
        <v>0.375</v>
      </c>
      <c r="E30" s="6" t="n">
        <v>0.125</v>
      </c>
      <c r="F30" s="5" t="n">
        <v>512</v>
      </c>
    </row>
    <row r="31">
      <c r="A31" t="n">
        <v>4</v>
      </c>
      <c r="B31" t="n">
        <v>3</v>
      </c>
      <c r="C31" s="6" t="n">
        <v>0</v>
      </c>
      <c r="D31" s="6" t="n">
        <v>0.375</v>
      </c>
      <c r="E31" s="6" t="n">
        <v>0.125</v>
      </c>
      <c r="F31" s="5" t="n">
        <v>512</v>
      </c>
    </row>
    <row r="32">
      <c r="A32" t="n">
        <v>4</v>
      </c>
      <c r="B32" t="n">
        <v>4</v>
      </c>
      <c r="C32" s="6" t="n">
        <v>0</v>
      </c>
      <c r="D32" s="6" t="n">
        <v>0.375</v>
      </c>
      <c r="E32" s="6" t="n">
        <v>0.125</v>
      </c>
      <c r="F32" s="5" t="n">
        <v>512</v>
      </c>
    </row>
    <row r="33">
      <c r="A33" t="n">
        <v>4</v>
      </c>
      <c r="B33" t="n">
        <v>5</v>
      </c>
      <c r="C33" s="6" t="n">
        <v>0</v>
      </c>
      <c r="D33" s="6" t="n">
        <v>0.375</v>
      </c>
      <c r="E33" s="6" t="n">
        <v>0.125</v>
      </c>
      <c r="F33" s="5" t="n">
        <v>512</v>
      </c>
    </row>
    <row r="34">
      <c r="A34" t="n">
        <v>4</v>
      </c>
      <c r="B34" t="n">
        <v>6</v>
      </c>
      <c r="C34" s="6" t="n">
        <v>0</v>
      </c>
      <c r="D34" s="6" t="n">
        <v>0.375</v>
      </c>
      <c r="E34" s="6" t="n">
        <v>0.125</v>
      </c>
      <c r="F34" s="5" t="n">
        <v>512</v>
      </c>
    </row>
    <row r="35">
      <c r="A35" t="n">
        <v>4</v>
      </c>
      <c r="B35" t="n">
        <v>7</v>
      </c>
      <c r="C35" s="6" t="n">
        <v>0</v>
      </c>
      <c r="D35" s="6" t="n">
        <v>0.375</v>
      </c>
      <c r="E35" s="6" t="n">
        <v>0.125</v>
      </c>
      <c r="F35" s="5" t="n">
        <v>512</v>
      </c>
    </row>
    <row r="36">
      <c r="A36" t="n">
        <v>4</v>
      </c>
      <c r="B36" t="n">
        <v>8</v>
      </c>
      <c r="C36" s="6" t="n">
        <v>0</v>
      </c>
      <c r="D36" s="6" t="n">
        <v>0.375</v>
      </c>
      <c r="E36" s="6" t="n">
        <v>0.125</v>
      </c>
      <c r="F36" s="5" t="n">
        <v>512</v>
      </c>
    </row>
  </sheetData>
  <autoFilter ref="A4:F3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2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</cols>
  <sheetData>
    <row r="1">
      <c r="A1" s="1" t="inlineStr">
        <is>
          <t>Annual forecast and actual-day cash-flow timing</t>
        </is>
      </c>
    </row>
    <row r="4" ht="44" customHeight="1">
      <c r="A4" s="2" t="inlineStr">
        <is>
          <t>Period</t>
        </is>
      </c>
      <c r="B4" s="2" t="inlineStr">
        <is>
          <t>Previous fiscal end</t>
        </is>
      </c>
      <c r="C4" s="2" t="inlineStr">
        <is>
          <t>Fiscal end / dates</t>
        </is>
      </c>
      <c r="D4" s="2" t="inlineStr">
        <is>
          <t>Cash-flow start</t>
        </is>
      </c>
      <c r="E4" s="2" t="inlineStr">
        <is>
          <t>operating_fractions</t>
        </is>
      </c>
      <c r="F4" s="2" t="inlineStr">
        <is>
          <t>interest_year_fractions</t>
        </is>
      </c>
      <c r="G4" s="2" t="inlineStr">
        <is>
          <t>Selected revenue growth</t>
        </is>
      </c>
      <c r="H4" s="2" t="inlineStr">
        <is>
          <t>Selected GP margin</t>
        </is>
      </c>
      <c r="I4" s="2" t="inlineStr">
        <is>
          <t>Selected opex margin</t>
        </is>
      </c>
      <c r="J4" s="2" t="inlineStr">
        <is>
          <t>Annual capex</t>
        </is>
      </c>
      <c r="K4" s="2" t="inlineStr">
        <is>
          <t>WC ratio</t>
        </is>
      </c>
      <c r="L4" s="2" t="inlineStr">
        <is>
          <t>revenue</t>
        </is>
      </c>
      <c r="M4" s="2" t="inlineStr">
        <is>
          <t>gross_profit</t>
        </is>
      </c>
      <c r="N4" s="2" t="inlineStr">
        <is>
          <t>opex</t>
        </is>
      </c>
      <c r="O4" s="2" t="inlineStr">
        <is>
          <t>ebitda</t>
        </is>
      </c>
      <c r="P4" s="2" t="inlineStr">
        <is>
          <t>ebitda_margin</t>
        </is>
      </c>
      <c r="Q4" s="2" t="inlineStr">
        <is>
          <t>working_capital</t>
        </is>
      </c>
      <c r="R4" s="2" t="inlineStr">
        <is>
          <t>change_working_capital</t>
        </is>
      </c>
      <c r="S4" s="2" t="inlineStr">
        <is>
          <t>cash_capex</t>
        </is>
      </c>
      <c r="T4" s="2" t="inlineStr">
        <is>
          <t>cash_ebitda</t>
        </is>
      </c>
    </row>
    <row r="5">
      <c r="A5" t="n">
        <v>1</v>
      </c>
      <c r="B5" s="7">
        <f>Inputs!$B$6</f>
        <v/>
      </c>
      <c r="C5" s="7">
        <f>EDATE(B5,12)</f>
        <v/>
      </c>
      <c r="D5" s="7">
        <f>MAX(B5,Inputs!$B$7)</f>
        <v/>
      </c>
      <c r="E5" s="8">
        <f>(C5-D5)/(C5-B5)</f>
        <v/>
      </c>
      <c r="F5" s="8">
        <f>(C5-D5)/365</f>
        <v/>
      </c>
      <c r="G5" s="8">
        <f>INDEX(Scenarios!$C$5:$C$36,(Inputs!$B$5-1)*8+A5)</f>
        <v/>
      </c>
      <c r="H5" s="8">
        <f>INDEX(Scenarios!$D$5:$D$36,(Inputs!$B$5-1)*8+A5)</f>
        <v/>
      </c>
      <c r="I5" s="8">
        <f>INDEX(Scenarios!$E$5:$E$36,(Inputs!$B$5-1)*8+A5)</f>
        <v/>
      </c>
      <c r="J5" s="9">
        <f>INDEX(Scenarios!$F$5:$F$36,(Inputs!$B$5-1)*8+A5)</f>
        <v/>
      </c>
      <c r="K5" s="8">
        <f>Inputs!B31</f>
        <v/>
      </c>
      <c r="L5" s="9">
        <f>Inputs!$B$9*(1+G5)</f>
        <v/>
      </c>
      <c r="M5" s="9">
        <f>L5*H5</f>
        <v/>
      </c>
      <c r="N5" s="9">
        <f>L5*I5</f>
        <v/>
      </c>
      <c r="O5" s="9">
        <f>M5-N5</f>
        <v/>
      </c>
      <c r="P5" s="8">
        <f>H5-I5</f>
        <v/>
      </c>
      <c r="Q5" s="9">
        <f>L5*K5</f>
        <v/>
      </c>
      <c r="R5" s="9">
        <f>Q5-Inputs!$B$10</f>
        <v/>
      </c>
      <c r="S5" s="9">
        <f>J5*E5</f>
        <v/>
      </c>
      <c r="T5" s="9">
        <f>O5*E5</f>
        <v/>
      </c>
    </row>
    <row r="6">
      <c r="A6" t="n">
        <v>2</v>
      </c>
      <c r="B6" s="7">
        <f>C5</f>
        <v/>
      </c>
      <c r="C6" s="7">
        <f>EDATE(B6,12)</f>
        <v/>
      </c>
      <c r="D6" s="7">
        <f>MAX(B6,Inputs!$B$7)</f>
        <v/>
      </c>
      <c r="E6" s="8">
        <f>(C6-D6)/(C6-B6)</f>
        <v/>
      </c>
      <c r="F6" s="8">
        <f>(C6-D6)/365</f>
        <v/>
      </c>
      <c r="G6" s="8">
        <f>INDEX(Scenarios!$C$5:$C$36,(Inputs!$B$5-1)*8+A6)</f>
        <v/>
      </c>
      <c r="H6" s="8">
        <f>INDEX(Scenarios!$D$5:$D$36,(Inputs!$B$5-1)*8+A6)</f>
        <v/>
      </c>
      <c r="I6" s="8">
        <f>INDEX(Scenarios!$E$5:$E$36,(Inputs!$B$5-1)*8+A6)</f>
        <v/>
      </c>
      <c r="J6" s="9">
        <f>INDEX(Scenarios!$F$5:$F$36,(Inputs!$B$5-1)*8+A6)</f>
        <v/>
      </c>
      <c r="K6" s="8">
        <f>Inputs!B32</f>
        <v/>
      </c>
      <c r="L6" s="9">
        <f>L5*(1+G6)</f>
        <v/>
      </c>
      <c r="M6" s="9">
        <f>L6*H6</f>
        <v/>
      </c>
      <c r="N6" s="9">
        <f>L6*I6</f>
        <v/>
      </c>
      <c r="O6" s="9">
        <f>M6-N6</f>
        <v/>
      </c>
      <c r="P6" s="8">
        <f>H6-I6</f>
        <v/>
      </c>
      <c r="Q6" s="9">
        <f>L6*K6</f>
        <v/>
      </c>
      <c r="R6" s="9">
        <f>Q6-Q5</f>
        <v/>
      </c>
      <c r="S6" s="9">
        <f>J6*E6</f>
        <v/>
      </c>
      <c r="T6" s="9">
        <f>O6*E6</f>
        <v/>
      </c>
    </row>
    <row r="7">
      <c r="A7" t="n">
        <v>3</v>
      </c>
      <c r="B7" s="7">
        <f>C6</f>
        <v/>
      </c>
      <c r="C7" s="7">
        <f>EDATE(B7,12)</f>
        <v/>
      </c>
      <c r="D7" s="7">
        <f>MAX(B7,Inputs!$B$7)</f>
        <v/>
      </c>
      <c r="E7" s="8">
        <f>(C7-D7)/(C7-B7)</f>
        <v/>
      </c>
      <c r="F7" s="8">
        <f>(C7-D7)/365</f>
        <v/>
      </c>
      <c r="G7" s="8">
        <f>INDEX(Scenarios!$C$5:$C$36,(Inputs!$B$5-1)*8+A7)</f>
        <v/>
      </c>
      <c r="H7" s="8">
        <f>INDEX(Scenarios!$D$5:$D$36,(Inputs!$B$5-1)*8+A7)</f>
        <v/>
      </c>
      <c r="I7" s="8">
        <f>INDEX(Scenarios!$E$5:$E$36,(Inputs!$B$5-1)*8+A7)</f>
        <v/>
      </c>
      <c r="J7" s="9">
        <f>INDEX(Scenarios!$F$5:$F$36,(Inputs!$B$5-1)*8+A7)</f>
        <v/>
      </c>
      <c r="K7" s="8">
        <f>Inputs!B33</f>
        <v/>
      </c>
      <c r="L7" s="9">
        <f>L6*(1+G7)</f>
        <v/>
      </c>
      <c r="M7" s="9">
        <f>L7*H7</f>
        <v/>
      </c>
      <c r="N7" s="9">
        <f>L7*I7</f>
        <v/>
      </c>
      <c r="O7" s="9">
        <f>M7-N7</f>
        <v/>
      </c>
      <c r="P7" s="8">
        <f>H7-I7</f>
        <v/>
      </c>
      <c r="Q7" s="9">
        <f>L7*K7</f>
        <v/>
      </c>
      <c r="R7" s="9">
        <f>Q7-Q6</f>
        <v/>
      </c>
      <c r="S7" s="9">
        <f>J7*E7</f>
        <v/>
      </c>
      <c r="T7" s="9">
        <f>O7*E7</f>
        <v/>
      </c>
    </row>
    <row r="8">
      <c r="A8" t="n">
        <v>4</v>
      </c>
      <c r="B8" s="7">
        <f>C7</f>
        <v/>
      </c>
      <c r="C8" s="7">
        <f>EDATE(B8,12)</f>
        <v/>
      </c>
      <c r="D8" s="7">
        <f>MAX(B8,Inputs!$B$7)</f>
        <v/>
      </c>
      <c r="E8" s="8">
        <f>(C8-D8)/(C8-B8)</f>
        <v/>
      </c>
      <c r="F8" s="8">
        <f>(C8-D8)/365</f>
        <v/>
      </c>
      <c r="G8" s="8">
        <f>INDEX(Scenarios!$C$5:$C$36,(Inputs!$B$5-1)*8+A8)</f>
        <v/>
      </c>
      <c r="H8" s="8">
        <f>INDEX(Scenarios!$D$5:$D$36,(Inputs!$B$5-1)*8+A8)</f>
        <v/>
      </c>
      <c r="I8" s="8">
        <f>INDEX(Scenarios!$E$5:$E$36,(Inputs!$B$5-1)*8+A8)</f>
        <v/>
      </c>
      <c r="J8" s="9">
        <f>INDEX(Scenarios!$F$5:$F$36,(Inputs!$B$5-1)*8+A8)</f>
        <v/>
      </c>
      <c r="K8" s="8">
        <f>Inputs!B34</f>
        <v/>
      </c>
      <c r="L8" s="9">
        <f>L7*(1+G8)</f>
        <v/>
      </c>
      <c r="M8" s="9">
        <f>L8*H8</f>
        <v/>
      </c>
      <c r="N8" s="9">
        <f>L8*I8</f>
        <v/>
      </c>
      <c r="O8" s="9">
        <f>M8-N8</f>
        <v/>
      </c>
      <c r="P8" s="8">
        <f>H8-I8</f>
        <v/>
      </c>
      <c r="Q8" s="9">
        <f>L8*K8</f>
        <v/>
      </c>
      <c r="R8" s="9">
        <f>Q8-Q7</f>
        <v/>
      </c>
      <c r="S8" s="9">
        <f>J8*E8</f>
        <v/>
      </c>
      <c r="T8" s="9">
        <f>O8*E8</f>
        <v/>
      </c>
    </row>
    <row r="9">
      <c r="A9" t="n">
        <v>5</v>
      </c>
      <c r="B9" s="7">
        <f>C8</f>
        <v/>
      </c>
      <c r="C9" s="7">
        <f>EDATE(B9,12)</f>
        <v/>
      </c>
      <c r="D9" s="7">
        <f>MAX(B9,Inputs!$B$7)</f>
        <v/>
      </c>
      <c r="E9" s="8">
        <f>(C9-D9)/(C9-B9)</f>
        <v/>
      </c>
      <c r="F9" s="8">
        <f>(C9-D9)/365</f>
        <v/>
      </c>
      <c r="G9" s="8">
        <f>INDEX(Scenarios!$C$5:$C$36,(Inputs!$B$5-1)*8+A9)</f>
        <v/>
      </c>
      <c r="H9" s="8">
        <f>INDEX(Scenarios!$D$5:$D$36,(Inputs!$B$5-1)*8+A9)</f>
        <v/>
      </c>
      <c r="I9" s="8">
        <f>INDEX(Scenarios!$E$5:$E$36,(Inputs!$B$5-1)*8+A9)</f>
        <v/>
      </c>
      <c r="J9" s="9">
        <f>INDEX(Scenarios!$F$5:$F$36,(Inputs!$B$5-1)*8+A9)</f>
        <v/>
      </c>
      <c r="K9" s="8">
        <f>Inputs!B35</f>
        <v/>
      </c>
      <c r="L9" s="9">
        <f>L8*(1+G9)</f>
        <v/>
      </c>
      <c r="M9" s="9">
        <f>L9*H9</f>
        <v/>
      </c>
      <c r="N9" s="9">
        <f>L9*I9</f>
        <v/>
      </c>
      <c r="O9" s="9">
        <f>M9-N9</f>
        <v/>
      </c>
      <c r="P9" s="8">
        <f>H9-I9</f>
        <v/>
      </c>
      <c r="Q9" s="9">
        <f>L9*K9</f>
        <v/>
      </c>
      <c r="R9" s="9">
        <f>Q9-Q8</f>
        <v/>
      </c>
      <c r="S9" s="9">
        <f>J9*E9</f>
        <v/>
      </c>
      <c r="T9" s="9">
        <f>O9*E9</f>
        <v/>
      </c>
    </row>
    <row r="10">
      <c r="A10" t="n">
        <v>6</v>
      </c>
      <c r="B10" s="7">
        <f>C9</f>
        <v/>
      </c>
      <c r="C10" s="7">
        <f>EDATE(B10,12)</f>
        <v/>
      </c>
      <c r="D10" s="7">
        <f>MAX(B10,Inputs!$B$7)</f>
        <v/>
      </c>
      <c r="E10" s="8">
        <f>(C10-D10)/(C10-B10)</f>
        <v/>
      </c>
      <c r="F10" s="8">
        <f>(C10-D10)/365</f>
        <v/>
      </c>
      <c r="G10" s="8">
        <f>INDEX(Scenarios!$C$5:$C$36,(Inputs!$B$5-1)*8+A10)</f>
        <v/>
      </c>
      <c r="H10" s="8">
        <f>INDEX(Scenarios!$D$5:$D$36,(Inputs!$B$5-1)*8+A10)</f>
        <v/>
      </c>
      <c r="I10" s="8">
        <f>INDEX(Scenarios!$E$5:$E$36,(Inputs!$B$5-1)*8+A10)</f>
        <v/>
      </c>
      <c r="J10" s="9">
        <f>INDEX(Scenarios!$F$5:$F$36,(Inputs!$B$5-1)*8+A10)</f>
        <v/>
      </c>
      <c r="K10" s="8">
        <f>Inputs!B36</f>
        <v/>
      </c>
      <c r="L10" s="9">
        <f>L9*(1+G10)</f>
        <v/>
      </c>
      <c r="M10" s="9">
        <f>L10*H10</f>
        <v/>
      </c>
      <c r="N10" s="9">
        <f>L10*I10</f>
        <v/>
      </c>
      <c r="O10" s="9">
        <f>M10-N10</f>
        <v/>
      </c>
      <c r="P10" s="8">
        <f>H10-I10</f>
        <v/>
      </c>
      <c r="Q10" s="9">
        <f>L10*K10</f>
        <v/>
      </c>
      <c r="R10" s="9">
        <f>Q10-Q9</f>
        <v/>
      </c>
      <c r="S10" s="9">
        <f>J10*E10</f>
        <v/>
      </c>
      <c r="T10" s="9">
        <f>O10*E10</f>
        <v/>
      </c>
    </row>
    <row r="11">
      <c r="A11" t="n">
        <v>7</v>
      </c>
      <c r="B11" s="7">
        <f>C10</f>
        <v/>
      </c>
      <c r="C11" s="7">
        <f>EDATE(B11,12)</f>
        <v/>
      </c>
      <c r="D11" s="7">
        <f>MAX(B11,Inputs!$B$7)</f>
        <v/>
      </c>
      <c r="E11" s="8">
        <f>(C11-D11)/(C11-B11)</f>
        <v/>
      </c>
      <c r="F11" s="8">
        <f>(C11-D11)/365</f>
        <v/>
      </c>
      <c r="G11" s="8">
        <f>INDEX(Scenarios!$C$5:$C$36,(Inputs!$B$5-1)*8+A11)</f>
        <v/>
      </c>
      <c r="H11" s="8">
        <f>INDEX(Scenarios!$D$5:$D$36,(Inputs!$B$5-1)*8+A11)</f>
        <v/>
      </c>
      <c r="I11" s="8">
        <f>INDEX(Scenarios!$E$5:$E$36,(Inputs!$B$5-1)*8+A11)</f>
        <v/>
      </c>
      <c r="J11" s="9">
        <f>INDEX(Scenarios!$F$5:$F$36,(Inputs!$B$5-1)*8+A11)</f>
        <v/>
      </c>
      <c r="K11" s="8">
        <f>Inputs!B37</f>
        <v/>
      </c>
      <c r="L11" s="9">
        <f>L10*(1+G11)</f>
        <v/>
      </c>
      <c r="M11" s="9">
        <f>L11*H11</f>
        <v/>
      </c>
      <c r="N11" s="9">
        <f>L11*I11</f>
        <v/>
      </c>
      <c r="O11" s="9">
        <f>M11-N11</f>
        <v/>
      </c>
      <c r="P11" s="8">
        <f>H11-I11</f>
        <v/>
      </c>
      <c r="Q11" s="9">
        <f>L11*K11</f>
        <v/>
      </c>
      <c r="R11" s="9">
        <f>Q11-Q10</f>
        <v/>
      </c>
      <c r="S11" s="9">
        <f>J11*E11</f>
        <v/>
      </c>
      <c r="T11" s="9">
        <f>O11*E11</f>
        <v/>
      </c>
    </row>
    <row r="12">
      <c r="A12" t="n">
        <v>8</v>
      </c>
      <c r="B12" s="7">
        <f>C11</f>
        <v/>
      </c>
      <c r="C12" s="7">
        <f>EDATE(B12,12)</f>
        <v/>
      </c>
      <c r="D12" s="7">
        <f>MAX(B12,Inputs!$B$7)</f>
        <v/>
      </c>
      <c r="E12" s="8">
        <f>(C12-D12)/(C12-B12)</f>
        <v/>
      </c>
      <c r="F12" s="8">
        <f>(C12-D12)/365</f>
        <v/>
      </c>
      <c r="G12" s="8">
        <f>INDEX(Scenarios!$C$5:$C$36,(Inputs!$B$5-1)*8+A12)</f>
        <v/>
      </c>
      <c r="H12" s="8">
        <f>INDEX(Scenarios!$D$5:$D$36,(Inputs!$B$5-1)*8+A12)</f>
        <v/>
      </c>
      <c r="I12" s="8">
        <f>INDEX(Scenarios!$E$5:$E$36,(Inputs!$B$5-1)*8+A12)</f>
        <v/>
      </c>
      <c r="J12" s="9">
        <f>INDEX(Scenarios!$F$5:$F$36,(Inputs!$B$5-1)*8+A12)</f>
        <v/>
      </c>
      <c r="K12" s="8">
        <f>Inputs!B38</f>
        <v/>
      </c>
      <c r="L12" s="9">
        <f>L11*(1+G12)</f>
        <v/>
      </c>
      <c r="M12" s="9">
        <f>L12*H12</f>
        <v/>
      </c>
      <c r="N12" s="9">
        <f>L12*I12</f>
        <v/>
      </c>
      <c r="O12" s="9">
        <f>M12-N12</f>
        <v/>
      </c>
      <c r="P12" s="8">
        <f>H12-I12</f>
        <v/>
      </c>
      <c r="Q12" s="9">
        <f>L12*K12</f>
        <v/>
      </c>
      <c r="R12" s="9">
        <f>Q12-Q11</f>
        <v/>
      </c>
      <c r="S12" s="9">
        <f>J12*E12</f>
        <v/>
      </c>
      <c r="T12" s="9">
        <f>O12*E12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12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</cols>
  <sheetData>
    <row r="1">
      <c r="A1" s="1" t="inlineStr">
        <is>
          <t>Sequential debt, cash and liquidity waterfall</t>
        </is>
      </c>
    </row>
    <row r="2">
      <c r="A2" t="inlineStr">
        <is>
          <t>Candidate obligations are diagnostic only on a failed row; executed flows and balances are blank.</t>
        </is>
      </c>
    </row>
    <row r="4" ht="44" customHeight="1">
      <c r="A4" s="2" t="inlineStr">
        <is>
          <t>Period</t>
        </is>
      </c>
      <c r="B4" s="2" t="inlineStr">
        <is>
          <t>Evaluate row?</t>
        </is>
      </c>
      <c r="C4" s="2" t="inlineStr">
        <is>
          <t>Opening TLB</t>
        </is>
      </c>
      <c r="D4" s="2" t="inlineStr">
        <is>
          <t>Opening RCF</t>
        </is>
      </c>
      <c r="E4" s="2" t="inlineStr">
        <is>
          <t>Opening cash</t>
        </is>
      </c>
      <c r="F4" s="2" t="inlineStr">
        <is>
          <t>tlb_interest</t>
        </is>
      </c>
      <c r="G4" s="2" t="inlineStr">
        <is>
          <t>rcf_interest</t>
        </is>
      </c>
      <c r="H4" s="2" t="inlineStr">
        <is>
          <t>cash_interest</t>
        </is>
      </c>
      <c r="I4" s="2" t="inlineStr">
        <is>
          <t>tlb_pik</t>
        </is>
      </c>
      <c r="J4" s="2" t="inlineStr">
        <is>
          <t>cash_taxes</t>
        </is>
      </c>
      <c r="K4" s="2" t="inlineStr">
        <is>
          <t>pre_financing_cash_flow</t>
        </is>
      </c>
      <c r="L4" s="2" t="inlineStr">
        <is>
          <t>Proposed mandatory TLB repayment</t>
        </is>
      </c>
      <c r="M4" s="2" t="inlineStr">
        <is>
          <t>Proposed mandatory RCF repayment</t>
        </is>
      </c>
      <c r="N4" s="2" t="inlineStr">
        <is>
          <t>Cash before repayments</t>
        </is>
      </c>
      <c r="O4" s="2" t="inlineStr">
        <is>
          <t>Required draw</t>
        </is>
      </c>
      <c r="P4" s="2" t="inlineStr">
        <is>
          <t>Available draw</t>
        </is>
      </c>
      <c r="Q4" s="2" t="inlineStr">
        <is>
          <t>Potential funding shortfall</t>
        </is>
      </c>
      <c r="R4" s="2" t="inlineStr">
        <is>
          <t>Row status</t>
        </is>
      </c>
      <c r="S4" s="2" t="inlineStr">
        <is>
          <t>rcf_draw</t>
        </is>
      </c>
      <c r="T4" s="2" t="inlineStr">
        <is>
          <t>Cash after mandatory repayments</t>
        </is>
      </c>
      <c r="U4" s="2" t="inlineStr">
        <is>
          <t>Interim RCF</t>
        </is>
      </c>
      <c r="V4" s="2" t="inlineStr">
        <is>
          <t>Voluntary RCF repayment</t>
        </is>
      </c>
      <c r="W4" s="2" t="inlineStr">
        <is>
          <t>rcf_repayment (total)</t>
        </is>
      </c>
      <c r="X4" s="2" t="inlineStr">
        <is>
          <t>Cash after RCF repayment</t>
        </is>
      </c>
      <c r="Y4" s="2" t="inlineStr">
        <is>
          <t>tlb_sweep</t>
        </is>
      </c>
      <c r="Z4" s="2" t="inlineStr">
        <is>
          <t>tlb_balance</t>
        </is>
      </c>
      <c r="AA4" s="2" t="inlineStr">
        <is>
          <t>rcf_balance</t>
        </is>
      </c>
      <c r="AB4" s="2" t="inlineStr">
        <is>
          <t>cash_balance</t>
        </is>
      </c>
    </row>
    <row r="5">
      <c r="A5" t="n">
        <v>1</v>
      </c>
      <c r="B5" s="9">
        <f>AND(A5&lt;=Inputs!$B$8,TRUE)</f>
        <v/>
      </c>
      <c r="C5" s="9">
        <f>IF(B5,Inputs!$B$18,"")</f>
        <v/>
      </c>
      <c r="D5" s="9">
        <f>IF(B5,0,"")</f>
        <v/>
      </c>
      <c r="E5" s="9">
        <f>IF(B5,0,"")</f>
        <v/>
      </c>
      <c r="F5" s="9">
        <f>IF(B5,C5*Inputs!$B$19*Forecast!F5,"")</f>
        <v/>
      </c>
      <c r="G5" s="9">
        <f>IF(B5,D5*Inputs!$B$25*Forecast!F5,"")</f>
        <v/>
      </c>
      <c r="H5" s="9">
        <f>IF(B5,F5+G5,"")</f>
        <v/>
      </c>
      <c r="I5" s="9">
        <f>IF(B5,C5*Inputs!$B$20*Forecast!F5,"")</f>
        <v/>
      </c>
      <c r="J5" s="9">
        <f>IF(B5,MAX(Forecast!T5-H5,0)*Inputs!$B$14,"")</f>
        <v/>
      </c>
      <c r="K5" s="9">
        <f>IF(B5,Forecast!T5-Forecast!S5-Forecast!R5-J5,"")</f>
        <v/>
      </c>
      <c r="L5" s="9">
        <f>IF(B5,IF(A5&gt;=Inputs!$B$23,C5+I5,MIN(C5+I5,Inputs!$B$18*Inputs!$B$21*Forecast!E5)),"")</f>
        <v/>
      </c>
      <c r="M5" s="9">
        <f>IF(B5,IF(A5&gt;=Inputs!$B$26,D5,0),"")</f>
        <v/>
      </c>
      <c r="N5" s="9">
        <f>IF(B5,E5+K5-H5,"")</f>
        <v/>
      </c>
      <c r="O5" s="9">
        <f>IF(B5,MAX(L5+M5-N5,0),"")</f>
        <v/>
      </c>
      <c r="P5" s="9">
        <f>IF(B5,IF(A5&lt;Inputs!$B$26,MAX(Inputs!$B$24-D5,0),0),"")</f>
        <v/>
      </c>
      <c r="Q5" s="9">
        <f>IF(B5,MAX(O5-P5,0),"")</f>
        <v/>
      </c>
      <c r="R5" s="9">
        <f>IF(B5,IF(Q5&gt;1E-12*MAX(E5,ABS(Forecast!T5),Forecast!S5,ABS(Forecast!R5),J5,H5,L5+M5,P5),"liquidity_shortfall","ok"),"not_projected")</f>
        <v/>
      </c>
      <c r="S5" s="9">
        <f>IF(R5="ok",MIN(O5,P5),"")</f>
        <v/>
      </c>
      <c r="T5" s="9">
        <f>IF(R5="ok",MAX(N5+S5-L5-M5,0),"")</f>
        <v/>
      </c>
      <c r="U5" s="9">
        <f>IF(R5="ok",D5+S5-M5,"")</f>
        <v/>
      </c>
      <c r="V5" s="9">
        <f>IF(R5="ok",MIN(T5,U5),"")</f>
        <v/>
      </c>
      <c r="W5" s="9">
        <f>IF(R5="ok",M5+V5,"")</f>
        <v/>
      </c>
      <c r="X5" s="9">
        <f>IF(R5="ok",T5-V5,"")</f>
        <v/>
      </c>
      <c r="Y5" s="9">
        <f>IF(R5="ok",MIN(X5*Inputs!$B$22,C5+I5-L5),"")</f>
        <v/>
      </c>
      <c r="Z5" s="9">
        <f>IF(R5="ok",C5+I5-L5-Y5,"")</f>
        <v/>
      </c>
      <c r="AA5" s="9">
        <f>IF(R5="ok",U5-V5,"")</f>
        <v/>
      </c>
      <c r="AB5" s="9">
        <f>IF(R5="ok",X5-Y5,"")</f>
        <v/>
      </c>
    </row>
    <row r="6">
      <c r="A6" t="n">
        <v>2</v>
      </c>
      <c r="B6" s="9">
        <f>AND(A6&lt;=Inputs!$B$8,R5="ok")</f>
        <v/>
      </c>
      <c r="C6" s="9">
        <f>IF(B6,Z5,"")</f>
        <v/>
      </c>
      <c r="D6" s="9">
        <f>IF(B6,AA5,"")</f>
        <v/>
      </c>
      <c r="E6" s="9">
        <f>IF(B6,AB5,"")</f>
        <v/>
      </c>
      <c r="F6" s="9">
        <f>IF(B6,C6*Inputs!$B$19*Forecast!F6,"")</f>
        <v/>
      </c>
      <c r="G6" s="9">
        <f>IF(B6,D6*Inputs!$B$25*Forecast!F6,"")</f>
        <v/>
      </c>
      <c r="H6" s="9">
        <f>IF(B6,F6+G6,"")</f>
        <v/>
      </c>
      <c r="I6" s="9">
        <f>IF(B6,C6*Inputs!$B$20*Forecast!F6,"")</f>
        <v/>
      </c>
      <c r="J6" s="9">
        <f>IF(B6,MAX(Forecast!T6-H6,0)*Inputs!$B$14,"")</f>
        <v/>
      </c>
      <c r="K6" s="9">
        <f>IF(B6,Forecast!T6-Forecast!S6-Forecast!R6-J6,"")</f>
        <v/>
      </c>
      <c r="L6" s="9">
        <f>IF(B6,IF(A6&gt;=Inputs!$B$23,C6+I6,MIN(C6+I6,Inputs!$B$18*Inputs!$B$21*Forecast!E6)),"")</f>
        <v/>
      </c>
      <c r="M6" s="9">
        <f>IF(B6,IF(A6&gt;=Inputs!$B$26,D6,0),"")</f>
        <v/>
      </c>
      <c r="N6" s="9">
        <f>IF(B6,E6+K6-H6,"")</f>
        <v/>
      </c>
      <c r="O6" s="9">
        <f>IF(B6,MAX(L6+M6-N6,0),"")</f>
        <v/>
      </c>
      <c r="P6" s="9">
        <f>IF(B6,IF(A6&lt;Inputs!$B$26,MAX(Inputs!$B$24-D6,0),0),"")</f>
        <v/>
      </c>
      <c r="Q6" s="9">
        <f>IF(B6,MAX(O6-P6,0),"")</f>
        <v/>
      </c>
      <c r="R6" s="9">
        <f>IF(B6,IF(Q6&gt;1E-12*MAX(E6,ABS(Forecast!T6),Forecast!S6,ABS(Forecast!R6),J6,H6,L6+M6,P6),"liquidity_shortfall","ok"),"not_projected")</f>
        <v/>
      </c>
      <c r="S6" s="9">
        <f>IF(R6="ok",MIN(O6,P6),"")</f>
        <v/>
      </c>
      <c r="T6" s="9">
        <f>IF(R6="ok",MAX(N6+S6-L6-M6,0),"")</f>
        <v/>
      </c>
      <c r="U6" s="9">
        <f>IF(R6="ok",D6+S6-M6,"")</f>
        <v/>
      </c>
      <c r="V6" s="9">
        <f>IF(R6="ok",MIN(T6,U6),"")</f>
        <v/>
      </c>
      <c r="W6" s="9">
        <f>IF(R6="ok",M6+V6,"")</f>
        <v/>
      </c>
      <c r="X6" s="9">
        <f>IF(R6="ok",T6-V6,"")</f>
        <v/>
      </c>
      <c r="Y6" s="9">
        <f>IF(R6="ok",MIN(X6*Inputs!$B$22,C6+I6-L6),"")</f>
        <v/>
      </c>
      <c r="Z6" s="9">
        <f>IF(R6="ok",C6+I6-L6-Y6,"")</f>
        <v/>
      </c>
      <c r="AA6" s="9">
        <f>IF(R6="ok",U6-V6,"")</f>
        <v/>
      </c>
      <c r="AB6" s="9">
        <f>IF(R6="ok",X6-Y6,"")</f>
        <v/>
      </c>
    </row>
    <row r="7">
      <c r="A7" t="n">
        <v>3</v>
      </c>
      <c r="B7" s="9">
        <f>AND(A7&lt;=Inputs!$B$8,R6="ok")</f>
        <v/>
      </c>
      <c r="C7" s="9">
        <f>IF(B7,Z6,"")</f>
        <v/>
      </c>
      <c r="D7" s="9">
        <f>IF(B7,AA6,"")</f>
        <v/>
      </c>
      <c r="E7" s="9">
        <f>IF(B7,AB6,"")</f>
        <v/>
      </c>
      <c r="F7" s="9">
        <f>IF(B7,C7*Inputs!$B$19*Forecast!F7,"")</f>
        <v/>
      </c>
      <c r="G7" s="9">
        <f>IF(B7,D7*Inputs!$B$25*Forecast!F7,"")</f>
        <v/>
      </c>
      <c r="H7" s="9">
        <f>IF(B7,F7+G7,"")</f>
        <v/>
      </c>
      <c r="I7" s="9">
        <f>IF(B7,C7*Inputs!$B$20*Forecast!F7,"")</f>
        <v/>
      </c>
      <c r="J7" s="9">
        <f>IF(B7,MAX(Forecast!T7-H7,0)*Inputs!$B$14,"")</f>
        <v/>
      </c>
      <c r="K7" s="9">
        <f>IF(B7,Forecast!T7-Forecast!S7-Forecast!R7-J7,"")</f>
        <v/>
      </c>
      <c r="L7" s="9">
        <f>IF(B7,IF(A7&gt;=Inputs!$B$23,C7+I7,MIN(C7+I7,Inputs!$B$18*Inputs!$B$21*Forecast!E7)),"")</f>
        <v/>
      </c>
      <c r="M7" s="9">
        <f>IF(B7,IF(A7&gt;=Inputs!$B$26,D7,0),"")</f>
        <v/>
      </c>
      <c r="N7" s="9">
        <f>IF(B7,E7+K7-H7,"")</f>
        <v/>
      </c>
      <c r="O7" s="9">
        <f>IF(B7,MAX(L7+M7-N7,0),"")</f>
        <v/>
      </c>
      <c r="P7" s="9">
        <f>IF(B7,IF(A7&lt;Inputs!$B$26,MAX(Inputs!$B$24-D7,0),0),"")</f>
        <v/>
      </c>
      <c r="Q7" s="9">
        <f>IF(B7,MAX(O7-P7,0),"")</f>
        <v/>
      </c>
      <c r="R7" s="9">
        <f>IF(B7,IF(Q7&gt;1E-12*MAX(E7,ABS(Forecast!T7),Forecast!S7,ABS(Forecast!R7),J7,H7,L7+M7,P7),"liquidity_shortfall","ok"),"not_projected")</f>
        <v/>
      </c>
      <c r="S7" s="9">
        <f>IF(R7="ok",MIN(O7,P7),"")</f>
        <v/>
      </c>
      <c r="T7" s="9">
        <f>IF(R7="ok",MAX(N7+S7-L7-M7,0),"")</f>
        <v/>
      </c>
      <c r="U7" s="9">
        <f>IF(R7="ok",D7+S7-M7,"")</f>
        <v/>
      </c>
      <c r="V7" s="9">
        <f>IF(R7="ok",MIN(T7,U7),"")</f>
        <v/>
      </c>
      <c r="W7" s="9">
        <f>IF(R7="ok",M7+V7,"")</f>
        <v/>
      </c>
      <c r="X7" s="9">
        <f>IF(R7="ok",T7-V7,"")</f>
        <v/>
      </c>
      <c r="Y7" s="9">
        <f>IF(R7="ok",MIN(X7*Inputs!$B$22,C7+I7-L7),"")</f>
        <v/>
      </c>
      <c r="Z7" s="9">
        <f>IF(R7="ok",C7+I7-L7-Y7,"")</f>
        <v/>
      </c>
      <c r="AA7" s="9">
        <f>IF(R7="ok",U7-V7,"")</f>
        <v/>
      </c>
      <c r="AB7" s="9">
        <f>IF(R7="ok",X7-Y7,"")</f>
        <v/>
      </c>
    </row>
    <row r="8">
      <c r="A8" t="n">
        <v>4</v>
      </c>
      <c r="B8" s="9">
        <f>AND(A8&lt;=Inputs!$B$8,R7="ok")</f>
        <v/>
      </c>
      <c r="C8" s="9">
        <f>IF(B8,Z7,"")</f>
        <v/>
      </c>
      <c r="D8" s="9">
        <f>IF(B8,AA7,"")</f>
        <v/>
      </c>
      <c r="E8" s="9">
        <f>IF(B8,AB7,"")</f>
        <v/>
      </c>
      <c r="F8" s="9">
        <f>IF(B8,C8*Inputs!$B$19*Forecast!F8,"")</f>
        <v/>
      </c>
      <c r="G8" s="9">
        <f>IF(B8,D8*Inputs!$B$25*Forecast!F8,"")</f>
        <v/>
      </c>
      <c r="H8" s="9">
        <f>IF(B8,F8+G8,"")</f>
        <v/>
      </c>
      <c r="I8" s="9">
        <f>IF(B8,C8*Inputs!$B$20*Forecast!F8,"")</f>
        <v/>
      </c>
      <c r="J8" s="9">
        <f>IF(B8,MAX(Forecast!T8-H8,0)*Inputs!$B$14,"")</f>
        <v/>
      </c>
      <c r="K8" s="9">
        <f>IF(B8,Forecast!T8-Forecast!S8-Forecast!R8-J8,"")</f>
        <v/>
      </c>
      <c r="L8" s="9">
        <f>IF(B8,IF(A8&gt;=Inputs!$B$23,C8+I8,MIN(C8+I8,Inputs!$B$18*Inputs!$B$21*Forecast!E8)),"")</f>
        <v/>
      </c>
      <c r="M8" s="9">
        <f>IF(B8,IF(A8&gt;=Inputs!$B$26,D8,0),"")</f>
        <v/>
      </c>
      <c r="N8" s="9">
        <f>IF(B8,E8+K8-H8,"")</f>
        <v/>
      </c>
      <c r="O8" s="9">
        <f>IF(B8,MAX(L8+M8-N8,0),"")</f>
        <v/>
      </c>
      <c r="P8" s="9">
        <f>IF(B8,IF(A8&lt;Inputs!$B$26,MAX(Inputs!$B$24-D8,0),0),"")</f>
        <v/>
      </c>
      <c r="Q8" s="9">
        <f>IF(B8,MAX(O8-P8,0),"")</f>
        <v/>
      </c>
      <c r="R8" s="9">
        <f>IF(B8,IF(Q8&gt;1E-12*MAX(E8,ABS(Forecast!T8),Forecast!S8,ABS(Forecast!R8),J8,H8,L8+M8,P8),"liquidity_shortfall","ok"),"not_projected")</f>
        <v/>
      </c>
      <c r="S8" s="9">
        <f>IF(R8="ok",MIN(O8,P8),"")</f>
        <v/>
      </c>
      <c r="T8" s="9">
        <f>IF(R8="ok",MAX(N8+S8-L8-M8,0),"")</f>
        <v/>
      </c>
      <c r="U8" s="9">
        <f>IF(R8="ok",D8+S8-M8,"")</f>
        <v/>
      </c>
      <c r="V8" s="9">
        <f>IF(R8="ok",MIN(T8,U8),"")</f>
        <v/>
      </c>
      <c r="W8" s="9">
        <f>IF(R8="ok",M8+V8,"")</f>
        <v/>
      </c>
      <c r="X8" s="9">
        <f>IF(R8="ok",T8-V8,"")</f>
        <v/>
      </c>
      <c r="Y8" s="9">
        <f>IF(R8="ok",MIN(X8*Inputs!$B$22,C8+I8-L8),"")</f>
        <v/>
      </c>
      <c r="Z8" s="9">
        <f>IF(R8="ok",C8+I8-L8-Y8,"")</f>
        <v/>
      </c>
      <c r="AA8" s="9">
        <f>IF(R8="ok",U8-V8,"")</f>
        <v/>
      </c>
      <c r="AB8" s="9">
        <f>IF(R8="ok",X8-Y8,"")</f>
        <v/>
      </c>
    </row>
    <row r="9">
      <c r="A9" t="n">
        <v>5</v>
      </c>
      <c r="B9" s="9">
        <f>AND(A9&lt;=Inputs!$B$8,R8="ok")</f>
        <v/>
      </c>
      <c r="C9" s="9">
        <f>IF(B9,Z8,"")</f>
        <v/>
      </c>
      <c r="D9" s="9">
        <f>IF(B9,AA8,"")</f>
        <v/>
      </c>
      <c r="E9" s="9">
        <f>IF(B9,AB8,"")</f>
        <v/>
      </c>
      <c r="F9" s="9">
        <f>IF(B9,C9*Inputs!$B$19*Forecast!F9,"")</f>
        <v/>
      </c>
      <c r="G9" s="9">
        <f>IF(B9,D9*Inputs!$B$25*Forecast!F9,"")</f>
        <v/>
      </c>
      <c r="H9" s="9">
        <f>IF(B9,F9+G9,"")</f>
        <v/>
      </c>
      <c r="I9" s="9">
        <f>IF(B9,C9*Inputs!$B$20*Forecast!F9,"")</f>
        <v/>
      </c>
      <c r="J9" s="9">
        <f>IF(B9,MAX(Forecast!T9-H9,0)*Inputs!$B$14,"")</f>
        <v/>
      </c>
      <c r="K9" s="9">
        <f>IF(B9,Forecast!T9-Forecast!S9-Forecast!R9-J9,"")</f>
        <v/>
      </c>
      <c r="L9" s="9">
        <f>IF(B9,IF(A9&gt;=Inputs!$B$23,C9+I9,MIN(C9+I9,Inputs!$B$18*Inputs!$B$21*Forecast!E9)),"")</f>
        <v/>
      </c>
      <c r="M9" s="9">
        <f>IF(B9,IF(A9&gt;=Inputs!$B$26,D9,0),"")</f>
        <v/>
      </c>
      <c r="N9" s="9">
        <f>IF(B9,E9+K9-H9,"")</f>
        <v/>
      </c>
      <c r="O9" s="9">
        <f>IF(B9,MAX(L9+M9-N9,0),"")</f>
        <v/>
      </c>
      <c r="P9" s="9">
        <f>IF(B9,IF(A9&lt;Inputs!$B$26,MAX(Inputs!$B$24-D9,0),0),"")</f>
        <v/>
      </c>
      <c r="Q9" s="9">
        <f>IF(B9,MAX(O9-P9,0),"")</f>
        <v/>
      </c>
      <c r="R9" s="9">
        <f>IF(B9,IF(Q9&gt;1E-12*MAX(E9,ABS(Forecast!T9),Forecast!S9,ABS(Forecast!R9),J9,H9,L9+M9,P9),"liquidity_shortfall","ok"),"not_projected")</f>
        <v/>
      </c>
      <c r="S9" s="9">
        <f>IF(R9="ok",MIN(O9,P9),"")</f>
        <v/>
      </c>
      <c r="T9" s="9">
        <f>IF(R9="ok",MAX(N9+S9-L9-M9,0),"")</f>
        <v/>
      </c>
      <c r="U9" s="9">
        <f>IF(R9="ok",D9+S9-M9,"")</f>
        <v/>
      </c>
      <c r="V9" s="9">
        <f>IF(R9="ok",MIN(T9,U9),"")</f>
        <v/>
      </c>
      <c r="W9" s="9">
        <f>IF(R9="ok",M9+V9,"")</f>
        <v/>
      </c>
      <c r="X9" s="9">
        <f>IF(R9="ok",T9-V9,"")</f>
        <v/>
      </c>
      <c r="Y9" s="9">
        <f>IF(R9="ok",MIN(X9*Inputs!$B$22,C9+I9-L9),"")</f>
        <v/>
      </c>
      <c r="Z9" s="9">
        <f>IF(R9="ok",C9+I9-L9-Y9,"")</f>
        <v/>
      </c>
      <c r="AA9" s="9">
        <f>IF(R9="ok",U9-V9,"")</f>
        <v/>
      </c>
      <c r="AB9" s="9">
        <f>IF(R9="ok",X9-Y9,"")</f>
        <v/>
      </c>
    </row>
    <row r="10">
      <c r="A10" t="n">
        <v>6</v>
      </c>
      <c r="B10" s="9">
        <f>AND(A10&lt;=Inputs!$B$8,R9="ok")</f>
        <v/>
      </c>
      <c r="C10" s="9">
        <f>IF(B10,Z9,"")</f>
        <v/>
      </c>
      <c r="D10" s="9">
        <f>IF(B10,AA9,"")</f>
        <v/>
      </c>
      <c r="E10" s="9">
        <f>IF(B10,AB9,"")</f>
        <v/>
      </c>
      <c r="F10" s="9">
        <f>IF(B10,C10*Inputs!$B$19*Forecast!F10,"")</f>
        <v/>
      </c>
      <c r="G10" s="9">
        <f>IF(B10,D10*Inputs!$B$25*Forecast!F10,"")</f>
        <v/>
      </c>
      <c r="H10" s="9">
        <f>IF(B10,F10+G10,"")</f>
        <v/>
      </c>
      <c r="I10" s="9">
        <f>IF(B10,C10*Inputs!$B$20*Forecast!F10,"")</f>
        <v/>
      </c>
      <c r="J10" s="9">
        <f>IF(B10,MAX(Forecast!T10-H10,0)*Inputs!$B$14,"")</f>
        <v/>
      </c>
      <c r="K10" s="9">
        <f>IF(B10,Forecast!T10-Forecast!S10-Forecast!R10-J10,"")</f>
        <v/>
      </c>
      <c r="L10" s="9">
        <f>IF(B10,IF(A10&gt;=Inputs!$B$23,C10+I10,MIN(C10+I10,Inputs!$B$18*Inputs!$B$21*Forecast!E10)),"")</f>
        <v/>
      </c>
      <c r="M10" s="9">
        <f>IF(B10,IF(A10&gt;=Inputs!$B$26,D10,0),"")</f>
        <v/>
      </c>
      <c r="N10" s="9">
        <f>IF(B10,E10+K10-H10,"")</f>
        <v/>
      </c>
      <c r="O10" s="9">
        <f>IF(B10,MAX(L10+M10-N10,0),"")</f>
        <v/>
      </c>
      <c r="P10" s="9">
        <f>IF(B10,IF(A10&lt;Inputs!$B$26,MAX(Inputs!$B$24-D10,0),0),"")</f>
        <v/>
      </c>
      <c r="Q10" s="9">
        <f>IF(B10,MAX(O10-P10,0),"")</f>
        <v/>
      </c>
      <c r="R10" s="9">
        <f>IF(B10,IF(Q10&gt;1E-12*MAX(E10,ABS(Forecast!T10),Forecast!S10,ABS(Forecast!R10),J10,H10,L10+M10,P10),"liquidity_shortfall","ok"),"not_projected")</f>
        <v/>
      </c>
      <c r="S10" s="9">
        <f>IF(R10="ok",MIN(O10,P10),"")</f>
        <v/>
      </c>
      <c r="T10" s="9">
        <f>IF(R10="ok",MAX(N10+S10-L10-M10,0),"")</f>
        <v/>
      </c>
      <c r="U10" s="9">
        <f>IF(R10="ok",D10+S10-M10,"")</f>
        <v/>
      </c>
      <c r="V10" s="9">
        <f>IF(R10="ok",MIN(T10,U10),"")</f>
        <v/>
      </c>
      <c r="W10" s="9">
        <f>IF(R10="ok",M10+V10,"")</f>
        <v/>
      </c>
      <c r="X10" s="9">
        <f>IF(R10="ok",T10-V10,"")</f>
        <v/>
      </c>
      <c r="Y10" s="9">
        <f>IF(R10="ok",MIN(X10*Inputs!$B$22,C10+I10-L10),"")</f>
        <v/>
      </c>
      <c r="Z10" s="9">
        <f>IF(R10="ok",C10+I10-L10-Y10,"")</f>
        <v/>
      </c>
      <c r="AA10" s="9">
        <f>IF(R10="ok",U10-V10,"")</f>
        <v/>
      </c>
      <c r="AB10" s="9">
        <f>IF(R10="ok",X10-Y10,"")</f>
        <v/>
      </c>
    </row>
    <row r="11">
      <c r="A11" t="n">
        <v>7</v>
      </c>
      <c r="B11" s="9">
        <f>AND(A11&lt;=Inputs!$B$8,R10="ok")</f>
        <v/>
      </c>
      <c r="C11" s="9">
        <f>IF(B11,Z10,"")</f>
        <v/>
      </c>
      <c r="D11" s="9">
        <f>IF(B11,AA10,"")</f>
        <v/>
      </c>
      <c r="E11" s="9">
        <f>IF(B11,AB10,"")</f>
        <v/>
      </c>
      <c r="F11" s="9">
        <f>IF(B11,C11*Inputs!$B$19*Forecast!F11,"")</f>
        <v/>
      </c>
      <c r="G11" s="9">
        <f>IF(B11,D11*Inputs!$B$25*Forecast!F11,"")</f>
        <v/>
      </c>
      <c r="H11" s="9">
        <f>IF(B11,F11+G11,"")</f>
        <v/>
      </c>
      <c r="I11" s="9">
        <f>IF(B11,C11*Inputs!$B$20*Forecast!F11,"")</f>
        <v/>
      </c>
      <c r="J11" s="9">
        <f>IF(B11,MAX(Forecast!T11-H11,0)*Inputs!$B$14,"")</f>
        <v/>
      </c>
      <c r="K11" s="9">
        <f>IF(B11,Forecast!T11-Forecast!S11-Forecast!R11-J11,"")</f>
        <v/>
      </c>
      <c r="L11" s="9">
        <f>IF(B11,IF(A11&gt;=Inputs!$B$23,C11+I11,MIN(C11+I11,Inputs!$B$18*Inputs!$B$21*Forecast!E11)),"")</f>
        <v/>
      </c>
      <c r="M11" s="9">
        <f>IF(B11,IF(A11&gt;=Inputs!$B$26,D11,0),"")</f>
        <v/>
      </c>
      <c r="N11" s="9">
        <f>IF(B11,E11+K11-H11,"")</f>
        <v/>
      </c>
      <c r="O11" s="9">
        <f>IF(B11,MAX(L11+M11-N11,0),"")</f>
        <v/>
      </c>
      <c r="P11" s="9">
        <f>IF(B11,IF(A11&lt;Inputs!$B$26,MAX(Inputs!$B$24-D11,0),0),"")</f>
        <v/>
      </c>
      <c r="Q11" s="9">
        <f>IF(B11,MAX(O11-P11,0),"")</f>
        <v/>
      </c>
      <c r="R11" s="9">
        <f>IF(B11,IF(Q11&gt;1E-12*MAX(E11,ABS(Forecast!T11),Forecast!S11,ABS(Forecast!R11),J11,H11,L11+M11,P11),"liquidity_shortfall","ok"),"not_projected")</f>
        <v/>
      </c>
      <c r="S11" s="9">
        <f>IF(R11="ok",MIN(O11,P11),"")</f>
        <v/>
      </c>
      <c r="T11" s="9">
        <f>IF(R11="ok",MAX(N11+S11-L11-M11,0),"")</f>
        <v/>
      </c>
      <c r="U11" s="9">
        <f>IF(R11="ok",D11+S11-M11,"")</f>
        <v/>
      </c>
      <c r="V11" s="9">
        <f>IF(R11="ok",MIN(T11,U11),"")</f>
        <v/>
      </c>
      <c r="W11" s="9">
        <f>IF(R11="ok",M11+V11,"")</f>
        <v/>
      </c>
      <c r="X11" s="9">
        <f>IF(R11="ok",T11-V11,"")</f>
        <v/>
      </c>
      <c r="Y11" s="9">
        <f>IF(R11="ok",MIN(X11*Inputs!$B$22,C11+I11-L11),"")</f>
        <v/>
      </c>
      <c r="Z11" s="9">
        <f>IF(R11="ok",C11+I11-L11-Y11,"")</f>
        <v/>
      </c>
      <c r="AA11" s="9">
        <f>IF(R11="ok",U11-V11,"")</f>
        <v/>
      </c>
      <c r="AB11" s="9">
        <f>IF(R11="ok",X11-Y11,"")</f>
        <v/>
      </c>
    </row>
    <row r="12">
      <c r="A12" t="n">
        <v>8</v>
      </c>
      <c r="B12" s="9">
        <f>AND(A12&lt;=Inputs!$B$8,R11="ok")</f>
        <v/>
      </c>
      <c r="C12" s="9">
        <f>IF(B12,Z11,"")</f>
        <v/>
      </c>
      <c r="D12" s="9">
        <f>IF(B12,AA11,"")</f>
        <v/>
      </c>
      <c r="E12" s="9">
        <f>IF(B12,AB11,"")</f>
        <v/>
      </c>
      <c r="F12" s="9">
        <f>IF(B12,C12*Inputs!$B$19*Forecast!F12,"")</f>
        <v/>
      </c>
      <c r="G12" s="9">
        <f>IF(B12,D12*Inputs!$B$25*Forecast!F12,"")</f>
        <v/>
      </c>
      <c r="H12" s="9">
        <f>IF(B12,F12+G12,"")</f>
        <v/>
      </c>
      <c r="I12" s="9">
        <f>IF(B12,C12*Inputs!$B$20*Forecast!F12,"")</f>
        <v/>
      </c>
      <c r="J12" s="9">
        <f>IF(B12,MAX(Forecast!T12-H12,0)*Inputs!$B$14,"")</f>
        <v/>
      </c>
      <c r="K12" s="9">
        <f>IF(B12,Forecast!T12-Forecast!S12-Forecast!R12-J12,"")</f>
        <v/>
      </c>
      <c r="L12" s="9">
        <f>IF(B12,IF(A12&gt;=Inputs!$B$23,C12+I12,MIN(C12+I12,Inputs!$B$18*Inputs!$B$21*Forecast!E12)),"")</f>
        <v/>
      </c>
      <c r="M12" s="9">
        <f>IF(B12,IF(A12&gt;=Inputs!$B$26,D12,0),"")</f>
        <v/>
      </c>
      <c r="N12" s="9">
        <f>IF(B12,E12+K12-H12,"")</f>
        <v/>
      </c>
      <c r="O12" s="9">
        <f>IF(B12,MAX(L12+M12-N12,0),"")</f>
        <v/>
      </c>
      <c r="P12" s="9">
        <f>IF(B12,IF(A12&lt;Inputs!$B$26,MAX(Inputs!$B$24-D12,0),0),"")</f>
        <v/>
      </c>
      <c r="Q12" s="9">
        <f>IF(B12,MAX(O12-P12,0),"")</f>
        <v/>
      </c>
      <c r="R12" s="9">
        <f>IF(B12,IF(Q12&gt;1E-12*MAX(E12,ABS(Forecast!T12),Forecast!S12,ABS(Forecast!R12),J12,H12,L12+M12,P12),"liquidity_shortfall","ok"),"not_projected")</f>
        <v/>
      </c>
      <c r="S12" s="9">
        <f>IF(R12="ok",MIN(O12,P12),"")</f>
        <v/>
      </c>
      <c r="T12" s="9">
        <f>IF(R12="ok",MAX(N12+S12-L12-M12,0),"")</f>
        <v/>
      </c>
      <c r="U12" s="9">
        <f>IF(R12="ok",D12+S12-M12,"")</f>
        <v/>
      </c>
      <c r="V12" s="9">
        <f>IF(R12="ok",MIN(T12,U12),"")</f>
        <v/>
      </c>
      <c r="W12" s="9">
        <f>IF(R12="ok",M12+V12,"")</f>
        <v/>
      </c>
      <c r="X12" s="9">
        <f>IF(R12="ok",T12-V12,"")</f>
        <v/>
      </c>
      <c r="Y12" s="9">
        <f>IF(R12="ok",MIN(X12*Inputs!$B$22,C12+I12-L12),"")</f>
        <v/>
      </c>
      <c r="Z12" s="9">
        <f>IF(R12="ok",C12+I12-L12-Y12,"")</f>
        <v/>
      </c>
      <c r="AA12" s="9">
        <f>IF(R12="ok",U12-V12,"")</f>
        <v/>
      </c>
      <c r="AB12" s="9">
        <f>IF(R12="ok",X12-Y12,"")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9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28" customWidth="1" min="2" max="2"/>
  </cols>
  <sheetData>
    <row r="1">
      <c r="A1" s="1" t="inlineStr">
        <is>
          <t>Entry funding, exit priority waterfall and native XIRR</t>
        </is>
      </c>
    </row>
    <row r="4" ht="44" customHeight="1">
      <c r="A4" s="2" t="inlineStr">
        <is>
          <t>Output</t>
        </is>
      </c>
      <c r="B4" s="2" t="inlineStr">
        <is>
          <t>Value</t>
        </is>
      </c>
    </row>
    <row r="5">
      <c r="A5" t="inlineStr">
        <is>
          <t>entry_ebitda</t>
        </is>
      </c>
      <c r="B5" s="9">
        <f>Forecast!O5</f>
        <v/>
      </c>
    </row>
    <row r="6">
      <c r="A6" t="inlineStr">
        <is>
          <t>entry_ev</t>
        </is>
      </c>
      <c r="B6" s="9">
        <f>B5*Inputs!$B$11</f>
        <v/>
      </c>
    </row>
    <row r="7">
      <c r="A7" t="inlineStr">
        <is>
          <t>entry_equity</t>
        </is>
      </c>
      <c r="B7" s="9">
        <f>B6-Inputs!$B$18</f>
        <v/>
      </c>
    </row>
    <row r="8">
      <c r="A8" t="inlineStr">
        <is>
          <t>ordinary_equity</t>
        </is>
      </c>
      <c r="B8" s="9">
        <f>B7*Inputs!$B$15</f>
        <v/>
      </c>
    </row>
    <row r="9">
      <c r="A9" t="inlineStr">
        <is>
          <t>preferred_equity</t>
        </is>
      </c>
      <c r="B9" s="9">
        <f>B7-B8</f>
        <v/>
      </c>
    </row>
    <row r="10">
      <c r="A10" t="inlineStr">
        <is>
          <t>sponsor_investment</t>
        </is>
      </c>
      <c r="B10" s="9">
        <f>B7-B11</f>
        <v/>
      </c>
    </row>
    <row r="11">
      <c r="A11" t="inlineStr">
        <is>
          <t>management_investment</t>
        </is>
      </c>
      <c r="B11" s="9">
        <f>B8*Inputs!$B$16</f>
        <v/>
      </c>
    </row>
    <row r="13">
      <c r="A13" t="inlineStr">
        <is>
          <t>exit_date</t>
        </is>
      </c>
      <c r="B13" s="7">
        <f>INDEX(Forecast!C5:C12,Inputs!$B$8)</f>
        <v/>
      </c>
    </row>
    <row r="14">
      <c r="A14" t="inlineStr">
        <is>
          <t>holding_period_years</t>
        </is>
      </c>
      <c r="B14" s="9">
        <f>(B13-Inputs!$B$7)/365</f>
        <v/>
      </c>
    </row>
    <row r="16">
      <c r="A16" t="inlineStr">
        <is>
          <t>status</t>
        </is>
      </c>
      <c r="B16" s="9">
        <f>IF(COUNTIF(Debt!R5:R12,"liquidity_shortfall")&gt;0,"liquidity_shortfall","ok")</f>
        <v/>
      </c>
    </row>
    <row r="17">
      <c r="A17" t="inlineStr">
        <is>
          <t>failure_period</t>
        </is>
      </c>
      <c r="B17" s="9">
        <f>IF(B16="ok","",MATCH("liquidity_shortfall",Debt!R5:R12,0))</f>
        <v/>
      </c>
    </row>
    <row r="18">
      <c r="A18" t="inlineStr">
        <is>
          <t>funding_shortfall</t>
        </is>
      </c>
      <c r="B18" s="9">
        <f>IF(B16="ok",0,INDEX(Debt!Q5:Q12,B17))</f>
        <v/>
      </c>
    </row>
    <row r="20">
      <c r="A20" t="inlineStr">
        <is>
          <t>exit_ev</t>
        </is>
      </c>
      <c r="B20" s="9">
        <f>IF($B$16="ok",INDEX(Forecast!O5:O12,Inputs!$B$8)*Inputs!$B$12,"")</f>
        <v/>
      </c>
    </row>
    <row r="21">
      <c r="A21" t="inlineStr">
        <is>
          <t>exit_fees</t>
        </is>
      </c>
      <c r="B21" s="9">
        <f>IF($B$16="ok",MAX(B20,0)*Inputs!$B$13,"")</f>
        <v/>
      </c>
    </row>
    <row r="22">
      <c r="A22" t="inlineStr">
        <is>
          <t>exit_debt</t>
        </is>
      </c>
      <c r="B22" s="9">
        <f>IF($B$16="ok",INDEX(Debt!Z5:Z12,Inputs!$B$8)+INDEX(Debt!AA5:AA12,Inputs!$B$8),"")</f>
        <v/>
      </c>
    </row>
    <row r="23">
      <c r="A23" t="inlineStr">
        <is>
          <t>exit_cash</t>
        </is>
      </c>
      <c r="B23" s="9">
        <f>IF($B$16="ok",INDEX(Debt!AB5:AB12,Inputs!$B$8),"")</f>
        <v/>
      </c>
    </row>
    <row r="24">
      <c r="A24" t="inlineStr">
        <is>
          <t>equity_value_before_floor</t>
        </is>
      </c>
      <c r="B24" s="9">
        <f>IF($B$16="ok",B20-B21-B22+B23,"")</f>
        <v/>
      </c>
    </row>
    <row r="25">
      <c r="A25" t="inlineStr">
        <is>
          <t>equity_proceeds</t>
        </is>
      </c>
      <c r="B25" s="9">
        <f>IF($B$16="ok",MAX(B24,0),"")</f>
        <v/>
      </c>
    </row>
    <row r="27">
      <c r="A27" t="inlineStr">
        <is>
          <t>preferred_accrued</t>
        </is>
      </c>
      <c r="B27" s="9">
        <f>IF($B$16="ok",B9*(1+Inputs!$B$17)^B14,"")</f>
        <v/>
      </c>
    </row>
    <row r="28">
      <c r="A28" t="inlineStr">
        <is>
          <t>preferred_payout</t>
        </is>
      </c>
      <c r="B28" s="9">
        <f>IF($B$16="ok",IF(B25-B27&lt;=1E-12*B25,B25,B27),"")</f>
        <v/>
      </c>
    </row>
    <row r="29">
      <c r="A29" t="inlineStr">
        <is>
          <t>ordinary_payout</t>
        </is>
      </c>
      <c r="B29" s="9">
        <f>IF($B$16="ok",B25-B28,"")</f>
        <v/>
      </c>
    </row>
    <row r="30">
      <c r="A30" t="inlineStr">
        <is>
          <t>sponsor_proceeds</t>
        </is>
      </c>
      <c r="B30" s="9">
        <f>IF($B$16="ok",B28+B29*(1-Inputs!$B$16),"")</f>
        <v/>
      </c>
    </row>
    <row r="31">
      <c r="A31" t="inlineStr">
        <is>
          <t>management_proceeds</t>
        </is>
      </c>
      <c r="B31" s="9">
        <f>IF($B$16="ok",B29*Inputs!$B$16,"")</f>
        <v/>
      </c>
    </row>
    <row r="33">
      <c r="A33" t="inlineStr">
        <is>
          <t>deal_mom</t>
        </is>
      </c>
      <c r="B33" s="9">
        <f>IF(AND($B$16="ok",B7&gt;0),B25/B7,"")</f>
        <v/>
      </c>
    </row>
    <row r="34">
      <c r="A34" t="inlineStr">
        <is>
          <t>sponsor_mom</t>
        </is>
      </c>
      <c r="B34" s="9">
        <f>IF(AND($B$16="ok",B10&gt;0),B30/B10,"")</f>
        <v/>
      </c>
    </row>
    <row r="35">
      <c r="A35" t="inlineStr">
        <is>
          <t>management_mom</t>
        </is>
      </c>
      <c r="B35" s="9">
        <f>IF(AND($B$16="ok",B11&gt;0),B31/B11,"")</f>
        <v/>
      </c>
    </row>
    <row r="37">
      <c r="A37" t="inlineStr">
        <is>
          <t>deal_irr</t>
        </is>
      </c>
      <c r="B37" s="8">
        <f>IF(AND($B$16="ok",B7&gt;0,B25&gt;0),XIRR(C44:C45,$B$44:$B$45,MAX(-0.999999999999999,EXP(LN(B25/B7)/$B$14)-1)),"")</f>
        <v/>
      </c>
    </row>
    <row r="38">
      <c r="A38" t="inlineStr">
        <is>
          <t>sponsor_irr</t>
        </is>
      </c>
      <c r="B38" s="8">
        <f>IF(AND($B$16="ok",B10&gt;0,B30&gt;0),XIRR(D44:D45,$B$44:$B$45,MAX(-0.999999999999999,EXP(LN(B30/B10)/$B$14)-1)),"")</f>
        <v/>
      </c>
    </row>
    <row r="39">
      <c r="A39" t="inlineStr">
        <is>
          <t>management_irr</t>
        </is>
      </c>
      <c r="B39" s="8">
        <f>IF(AND($B$16="ok",B11&gt;0,B31&gt;0),XIRR(E44:E45,$B$44:$B$45,MAX(-0.999999999999999,EXP(LN(B31/B11)/$B$14)-1)),"")</f>
        <v/>
      </c>
    </row>
    <row r="43">
      <c r="A43" t="inlineStr">
        <is>
          <t>Cash-flow event</t>
        </is>
      </c>
      <c r="B43" t="inlineStr">
        <is>
          <t>Actual date</t>
        </is>
      </c>
      <c r="C43" t="inlineStr">
        <is>
          <t>Deal</t>
        </is>
      </c>
      <c r="D43" t="inlineStr">
        <is>
          <t>Sponsor</t>
        </is>
      </c>
      <c r="E43" t="inlineStr">
        <is>
          <t>Management</t>
        </is>
      </c>
    </row>
    <row r="44">
      <c r="A44" t="inlineStr">
        <is>
          <t>Entry investment</t>
        </is>
      </c>
      <c r="B44" s="7">
        <f>Inputs!$B$7</f>
        <v/>
      </c>
      <c r="C44" s="9">
        <f>-B7</f>
        <v/>
      </c>
      <c r="D44" s="9">
        <f>-B10</f>
        <v/>
      </c>
      <c r="E44" s="9">
        <f>-B11</f>
        <v/>
      </c>
    </row>
    <row r="45">
      <c r="A45" t="inlineStr">
        <is>
          <t>Exit distribution</t>
        </is>
      </c>
      <c r="B45" s="7">
        <f>B13</f>
        <v/>
      </c>
      <c r="C45" s="9">
        <f>IF($B$16="ok",B25,"")</f>
        <v/>
      </c>
      <c r="D45" s="9">
        <f>IF($B$16="ok",B30,"")</f>
        <v/>
      </c>
      <c r="E45" s="9">
        <f>IF($B$16="ok",B31,"")</f>
        <v/>
      </c>
    </row>
    <row r="48">
      <c r="A48" t="inlineStr">
        <is>
          <t>Blank valuation or return cells map to JSON null, never fabricated zero returns.</t>
        </is>
      </c>
    </row>
    <row r="49">
      <c r="A49" t="inlineStr">
        <is>
          <t>Priority: sponsor preferred first, then ordinary split; distributions sum to equity proceeds.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Pierre LBO One</dc:creator>
  <dc:title>Pierre LBO One</dc:title>
  <dc:description>Explicit Excel formulas; GBP thousands; ACT/365 interest.</dc:description>
  <dc:subject>Independent corrected leveraged buyout derivative</dc:subject>
  <dcterms:created xsi:type="dcterms:W3CDTF">2026-10-05T06:17:18Z</dcterms:created>
  <dcterms:modified xsi:type="dcterms:W3CDTF">2026-10-05T06:17:18Z</dcterms:modified>
</cp:coreProperties>
</file>