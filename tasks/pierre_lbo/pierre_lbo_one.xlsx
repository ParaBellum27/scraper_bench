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<sst xmlns="http://schemas.openxmlformats.org/spreadsheetml/2006/main" count="162" uniqueCount="158">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</sst>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44531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44593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5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171697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6653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8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8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0.03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0.25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0.1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0.1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0.08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60000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0.06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7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15000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0.05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100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0.065928096814128</v>
      </c>
    </row>
    <row r="32" customFormat="false" ht="15" hidden="false" customHeight="false" outlineLevel="0" collapsed="false">
      <c r="A32" s="0" t="n">
        <v>2</v>
      </c>
      <c r="B32" s="6" t="n">
        <v>0.0662469868923351</v>
      </c>
    </row>
    <row r="33" customFormat="false" ht="15" hidden="false" customHeight="false" outlineLevel="0" collapsed="false">
      <c r="A33" s="0" t="n">
        <v>3</v>
      </c>
      <c r="B33" s="6" t="n">
        <v>0.063049853372434</v>
      </c>
    </row>
    <row r="34" customFormat="false" ht="15" hidden="false" customHeight="false" outlineLevel="0" collapsed="false">
      <c r="A34" s="0" t="n">
        <v>4</v>
      </c>
      <c r="B34" s="6" t="n">
        <v>0.0606103408811045</v>
      </c>
    </row>
    <row r="35" customFormat="false" ht="15" hidden="false" customHeight="false" outlineLevel="0" collapsed="false">
      <c r="A35" s="0" t="n">
        <v>5</v>
      </c>
      <c r="B35" s="6" t="n">
        <v>0.0590487561691447</v>
      </c>
    </row>
    <row r="36" customFormat="false" ht="15" hidden="false" customHeight="false" outlineLevel="0" collapsed="false">
      <c r="A36" s="0" t="n">
        <v>6</v>
      </c>
      <c r="B36" s="6" t="n">
        <v>0.0590487561691447</v>
      </c>
    </row>
    <row r="37" customFormat="false" ht="15" hidden="false" customHeight="false" outlineLevel="0" collapsed="false">
      <c r="A37" s="0" t="n">
        <v>7</v>
      </c>
      <c r="B37" s="6" t="n">
        <v>0.0590487561691447</v>
      </c>
    </row>
    <row r="38" customFormat="false" ht="15" hidden="false" customHeight="false" outlineLevel="0" collapsed="false">
      <c r="A38" s="0" t="n">
        <v>8</v>
      </c>
      <c r="B38" s="6" t="n">
        <v>0.0590487561691447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62</v>
      </c>
    </row>
    <row r="4" customFormat="false" ht="43.5" hidden="false" customHeight="true" outlineLevel="0" collapsed="false">
      <c r="A4" s="2" t="s">
        <v>63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68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-0.0778872082797021</v>
      </c>
      <c r="D5" s="6" t="n">
        <v>0.137085975594351</v>
      </c>
      <c r="E5" s="6" t="n">
        <v>0.0499103105025138</v>
      </c>
      <c r="F5" s="5" t="n">
        <v>48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0.221053030494429</v>
      </c>
      <c r="D6" s="6" t="n">
        <v>0.148467323946576</v>
      </c>
      <c r="E6" s="6" t="n">
        <v>0.0488097578133891</v>
      </c>
      <c r="F6" s="5" t="n">
        <v>194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0.20650520892604</v>
      </c>
      <c r="D7" s="6" t="n">
        <v>0.158224863233352</v>
      </c>
      <c r="E7" s="6" t="n">
        <v>0.048292774948123</v>
      </c>
      <c r="F7" s="5" t="n">
        <v>234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0.183773216031281</v>
      </c>
      <c r="D8" s="6" t="n">
        <v>0.166344329030669</v>
      </c>
      <c r="E8" s="6" t="n">
        <v>0.0477784055514509</v>
      </c>
      <c r="F8" s="5" t="n">
        <v>345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0.158745853071986</v>
      </c>
      <c r="D9" s="6" t="n">
        <v>0.172132812817443</v>
      </c>
      <c r="E9" s="6" t="n">
        <v>0.047518433201329</v>
      </c>
      <c r="F9" s="5" t="n">
        <v>400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0.13</v>
      </c>
      <c r="D10" s="6" t="n">
        <v>0.175132812817443</v>
      </c>
      <c r="E10" s="6" t="n">
        <v>0.047518433201329</v>
      </c>
      <c r="F10" s="5" t="n">
        <v>443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0.12</v>
      </c>
      <c r="D11" s="6" t="n">
        <v>0.178132812817443</v>
      </c>
      <c r="E11" s="6" t="n">
        <v>0.047518433201329</v>
      </c>
      <c r="F11" s="5" t="n">
        <v>486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0.11</v>
      </c>
      <c r="D12" s="6" t="n">
        <v>0.181132812817443</v>
      </c>
      <c r="E12" s="6" t="n">
        <v>0.047518433201329</v>
      </c>
      <c r="F12" s="5" t="n">
        <v>529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-0.0778872082797021</v>
      </c>
      <c r="D13" s="6" t="n">
        <v>0.137085975594351</v>
      </c>
      <c r="E13" s="6" t="n">
        <v>0.0499103105025138</v>
      </c>
      <c r="F13" s="5" t="n">
        <v>48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0.216053030494429</v>
      </c>
      <c r="D14" s="6" t="n">
        <v>0.138467323946576</v>
      </c>
      <c r="E14" s="6" t="n">
        <v>0.0538097578133891</v>
      </c>
      <c r="F14" s="5" t="n">
        <v>231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0.20150520892604</v>
      </c>
      <c r="D15" s="6" t="n">
        <v>0.148224863233352</v>
      </c>
      <c r="E15" s="6" t="n">
        <v>0.053292774948123</v>
      </c>
      <c r="F15" s="5" t="n">
        <v>271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0.178773216031281</v>
      </c>
      <c r="D16" s="6" t="n">
        <v>0.156344329030669</v>
      </c>
      <c r="E16" s="6" t="n">
        <v>0.0527784055514509</v>
      </c>
      <c r="F16" s="5" t="n">
        <v>382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0.153745853071986</v>
      </c>
      <c r="D17" s="6" t="n">
        <v>0.162132812817443</v>
      </c>
      <c r="E17" s="6" t="n">
        <v>0.052518433201329</v>
      </c>
      <c r="F17" s="5" t="n">
        <v>437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0.125</v>
      </c>
      <c r="D18" s="6" t="n">
        <v>0.165132812817443</v>
      </c>
      <c r="E18" s="6" t="n">
        <v>0.052518433201329</v>
      </c>
      <c r="F18" s="5" t="n">
        <v>480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0.115</v>
      </c>
      <c r="D19" s="6" t="n">
        <v>0.168132812817443</v>
      </c>
      <c r="E19" s="6" t="n">
        <v>0.052518433201329</v>
      </c>
      <c r="F19" s="5" t="n">
        <v>523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0.105</v>
      </c>
      <c r="D20" s="6" t="n">
        <v>0.171132812817443</v>
      </c>
      <c r="E20" s="6" t="n">
        <v>0.052518433201329</v>
      </c>
      <c r="F20" s="5" t="n">
        <v>566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-0.0778872082797021</v>
      </c>
      <c r="D21" s="6" t="n">
        <v>0.137085975594351</v>
      </c>
      <c r="E21" s="6" t="n">
        <v>0.0499103105025138</v>
      </c>
      <c r="F21" s="5" t="n">
        <v>48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0.211053030494429</v>
      </c>
      <c r="D22" s="6" t="n">
        <v>0.127467323946576</v>
      </c>
      <c r="E22" s="6" t="n">
        <v>0.0638097578133891</v>
      </c>
      <c r="F22" s="5" t="n">
        <v>273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0.19650520892604</v>
      </c>
      <c r="D23" s="6" t="n">
        <v>0.137224863233352</v>
      </c>
      <c r="E23" s="6" t="n">
        <v>0.063292774948123</v>
      </c>
      <c r="F23" s="5" t="n">
        <v>313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0.173773216031281</v>
      </c>
      <c r="D24" s="6" t="n">
        <v>0.145344329030669</v>
      </c>
      <c r="E24" s="6" t="n">
        <v>0.0627784055514509</v>
      </c>
      <c r="F24" s="5" t="n">
        <v>424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0.148745853071986</v>
      </c>
      <c r="D25" s="6" t="n">
        <v>0.151132812817443</v>
      </c>
      <c r="E25" s="6" t="n">
        <v>0.062518433201329</v>
      </c>
      <c r="F25" s="5" t="n">
        <v>479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0.12</v>
      </c>
      <c r="D26" s="6" t="n">
        <v>0.154132812817443</v>
      </c>
      <c r="E26" s="6" t="n">
        <v>0.062518433201329</v>
      </c>
      <c r="F26" s="5" t="n">
        <v>522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0.11</v>
      </c>
      <c r="D27" s="6" t="n">
        <v>0.157132812817443</v>
      </c>
      <c r="E27" s="6" t="n">
        <v>0.062518433201329</v>
      </c>
      <c r="F27" s="5" t="n">
        <v>565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0.1</v>
      </c>
      <c r="D28" s="6" t="n">
        <v>0.160132812817443</v>
      </c>
      <c r="E28" s="6" t="n">
        <v>0.062518433201329</v>
      </c>
      <c r="F28" s="5" t="n">
        <v>608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-0.0778872082797021</v>
      </c>
      <c r="D29" s="6" t="n">
        <v>0.137085975594351</v>
      </c>
      <c r="E29" s="6" t="n">
        <v>0.0499103105025138</v>
      </c>
      <c r="F29" s="5" t="n">
        <v>48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0.206053030494429</v>
      </c>
      <c r="D30" s="6" t="n">
        <v>0.113467323946576</v>
      </c>
      <c r="E30" s="6" t="n">
        <v>0.0838097578133891</v>
      </c>
      <c r="F30" s="5" t="n">
        <v>324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0.19150520892604</v>
      </c>
      <c r="D31" s="6" t="n">
        <v>0.123224863233352</v>
      </c>
      <c r="E31" s="6" t="n">
        <v>0.083292774948123</v>
      </c>
      <c r="F31" s="5" t="n">
        <v>364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0.168773216031281</v>
      </c>
      <c r="D32" s="6" t="n">
        <v>0.131344329030669</v>
      </c>
      <c r="E32" s="6" t="n">
        <v>0.0827784055514509</v>
      </c>
      <c r="F32" s="5" t="n">
        <v>475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0.143745853071986</v>
      </c>
      <c r="D33" s="6" t="n">
        <v>0.137132812817443</v>
      </c>
      <c r="E33" s="6" t="n">
        <v>0.082518433201329</v>
      </c>
      <c r="F33" s="5" t="n">
        <v>530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0.115</v>
      </c>
      <c r="D34" s="6" t="n">
        <v>0.140132812817443</v>
      </c>
      <c r="E34" s="6" t="n">
        <v>0.082518433201329</v>
      </c>
      <c r="F34" s="5" t="n">
        <v>573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0.105</v>
      </c>
      <c r="D35" s="6" t="n">
        <v>0.143132812817443</v>
      </c>
      <c r="E35" s="6" t="n">
        <v>0.082518433201329</v>
      </c>
      <c r="F35" s="5" t="n">
        <v>616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0.095</v>
      </c>
      <c r="D36" s="6" t="n">
        <v>0.146132812817443</v>
      </c>
      <c r="E36" s="6" t="n">
        <v>0.082518433201329</v>
      </c>
      <c r="F36" s="5" t="n">
        <v>659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69</v>
      </c>
    </row>
    <row r="4" customFormat="false" ht="43.5" hidden="false" customHeight="true" outlineLevel="0" collapsed="false">
      <c r="A4" s="2" t="s">
        <v>64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  <c r="N4" s="2" t="s">
        <v>82</v>
      </c>
      <c r="O4" s="2" t="s">
        <v>83</v>
      </c>
      <c r="P4" s="2" t="s">
        <v>84</v>
      </c>
      <c r="Q4" s="2" t="s">
        <v>85</v>
      </c>
      <c r="R4" s="2" t="s">
        <v>86</v>
      </c>
      <c r="S4" s="2" t="s">
        <v>87</v>
      </c>
      <c r="T4" s="2" t="s">
        <v>88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44531</v>
      </c>
      <c r="C5" s="7" t="n">
        <f aca="false">EDATE(B5,12)</f>
        <v>44896</v>
      </c>
      <c r="D5" s="7" t="n">
        <f aca="false">MAX(B5,Inputs!$B$7)</f>
        <v>44593</v>
      </c>
      <c r="E5" s="8" t="n">
        <f aca="false">(C5-D5)/(C5-B5)</f>
        <v>0.83013698630137</v>
      </c>
      <c r="F5" s="8" t="n">
        <f aca="false">(C5-D5)/365</f>
        <v>0.83013698630137</v>
      </c>
      <c r="G5" s="8" t="n">
        <f aca="false">INDEX(Scenarios!$C$5:$C$36,(Inputs!$B$5-1)*8+A5)</f>
        <v>-0.0778872082797021</v>
      </c>
      <c r="H5" s="8" t="n">
        <f aca="false">INDEX(Scenarios!$D$5:$D$36,(Inputs!$B$5-1)*8+A5)</f>
        <v>0.137085975594351</v>
      </c>
      <c r="I5" s="8" t="n">
        <f aca="false">INDEX(Scenarios!$E$5:$E$36,(Inputs!$B$5-1)*8+A5)</f>
        <v>0.0499103105025138</v>
      </c>
      <c r="J5" s="9" t="n">
        <f aca="false">INDEX(Scenarios!$F$5:$F$36,(Inputs!$B$5-1)*8+A5)</f>
        <v>48</v>
      </c>
      <c r="K5" s="8" t="n">
        <f aca="false">Inputs!B31</f>
        <v>0.065928096814128</v>
      </c>
      <c r="L5" s="9" t="n">
        <f aca="false">Inputs!$B$9*(1+G5)</f>
        <v>158324</v>
      </c>
      <c r="M5" s="9" t="n">
        <f aca="false">L5*H5</f>
        <v>21704</v>
      </c>
      <c r="N5" s="9" t="n">
        <f aca="false">L5*I5</f>
        <v>7902</v>
      </c>
      <c r="O5" s="9" t="n">
        <f aca="false">M5-N5</f>
        <v>13802</v>
      </c>
      <c r="P5" s="8" t="n">
        <f aca="false">H5-I5</f>
        <v>0.0871756650918369</v>
      </c>
      <c r="Q5" s="9" t="n">
        <f aca="false">L5*K5</f>
        <v>10438</v>
      </c>
      <c r="R5" s="9" t="n">
        <f aca="false">Q5-Inputs!$B$10</f>
        <v>3785</v>
      </c>
      <c r="S5" s="9" t="n">
        <f aca="false">J5*E5</f>
        <v>39.8465753424658</v>
      </c>
      <c r="T5" s="9" t="n">
        <f aca="false">O5*E5</f>
        <v>11457.5506849315</v>
      </c>
    </row>
    <row r="6" customFormat="false" ht="15" hidden="false" customHeight="false" outlineLevel="0" collapsed="false">
      <c r="A6" s="0" t="n">
        <v>2</v>
      </c>
      <c r="B6" s="7" t="n">
        <f aca="false">C5</f>
        <v>44896</v>
      </c>
      <c r="C6" s="7" t="n">
        <f aca="false">EDATE(B6,12)</f>
        <v>45261</v>
      </c>
      <c r="D6" s="7" t="n">
        <f aca="false">MAX(B6,Inputs!$B$7)</f>
        <v>44896</v>
      </c>
      <c r="E6" s="8" t="n">
        <f aca="false">(C6-D6)/(C6-B6)</f>
        <v>1</v>
      </c>
      <c r="F6" s="8" t="n">
        <f aca="false">(C6-D6)/365</f>
        <v>1</v>
      </c>
      <c r="G6" s="8" t="n">
        <f aca="false">INDEX(Scenarios!$C$5:$C$36,(Inputs!$B$5-1)*8+A6)</f>
        <v>0.221053030494429</v>
      </c>
      <c r="H6" s="8" t="n">
        <f aca="false">INDEX(Scenarios!$D$5:$D$36,(Inputs!$B$5-1)*8+A6)</f>
        <v>0.148467323946576</v>
      </c>
      <c r="I6" s="8" t="n">
        <f aca="false">INDEX(Scenarios!$E$5:$E$36,(Inputs!$B$5-1)*8+A6)</f>
        <v>0.0488097578133891</v>
      </c>
      <c r="J6" s="9" t="n">
        <f aca="false">INDEX(Scenarios!$F$5:$F$36,(Inputs!$B$5-1)*8+A6)</f>
        <v>194</v>
      </c>
      <c r="K6" s="8" t="n">
        <f aca="false">Inputs!B32</f>
        <v>0.0662469868923351</v>
      </c>
      <c r="L6" s="9" t="n">
        <f aca="false">L5*(1+G6)</f>
        <v>193322</v>
      </c>
      <c r="M6" s="9" t="n">
        <f aca="false">L6*H6</f>
        <v>28702</v>
      </c>
      <c r="N6" s="9" t="n">
        <f aca="false">L6*I6</f>
        <v>9436</v>
      </c>
      <c r="O6" s="9" t="n">
        <f aca="false">M6-N6</f>
        <v>19266</v>
      </c>
      <c r="P6" s="8" t="n">
        <f aca="false">H6-I6</f>
        <v>0.0996575661331871</v>
      </c>
      <c r="Q6" s="9" t="n">
        <f aca="false">L6*K6</f>
        <v>12807</v>
      </c>
      <c r="R6" s="9" t="n">
        <f aca="false">Q6-Q5</f>
        <v>2369</v>
      </c>
      <c r="S6" s="9" t="n">
        <f aca="false">J6*E6</f>
        <v>194</v>
      </c>
      <c r="T6" s="9" t="n">
        <f aca="false">O6*E6</f>
        <v>19266</v>
      </c>
    </row>
    <row r="7" customFormat="false" ht="15" hidden="false" customHeight="false" outlineLevel="0" collapsed="false">
      <c r="A7" s="0" t="n">
        <v>3</v>
      </c>
      <c r="B7" s="7" t="n">
        <f aca="false">C6</f>
        <v>45261</v>
      </c>
      <c r="C7" s="7" t="n">
        <f aca="false">EDATE(B7,12)</f>
        <v>45627</v>
      </c>
      <c r="D7" s="7" t="n">
        <f aca="false">MAX(B7,Inputs!$B$7)</f>
        <v>45261</v>
      </c>
      <c r="E7" s="8" t="n">
        <f aca="false">(C7-D7)/(C7-B7)</f>
        <v>1</v>
      </c>
      <c r="F7" s="8" t="n">
        <f aca="false">(C7-D7)/365</f>
        <v>1.0027397260274</v>
      </c>
      <c r="G7" s="8" t="n">
        <f aca="false">INDEX(Scenarios!$C$5:$C$36,(Inputs!$B$5-1)*8+A7)</f>
        <v>0.20650520892604</v>
      </c>
      <c r="H7" s="8" t="n">
        <f aca="false">INDEX(Scenarios!$D$5:$D$36,(Inputs!$B$5-1)*8+A7)</f>
        <v>0.158224863233352</v>
      </c>
      <c r="I7" s="8" t="n">
        <f aca="false">INDEX(Scenarios!$E$5:$E$36,(Inputs!$B$5-1)*8+A7)</f>
        <v>0.048292774948123</v>
      </c>
      <c r="J7" s="9" t="n">
        <f aca="false">INDEX(Scenarios!$F$5:$F$36,(Inputs!$B$5-1)*8+A7)</f>
        <v>234</v>
      </c>
      <c r="K7" s="8" t="n">
        <f aca="false">Inputs!B33</f>
        <v>0.063049853372434</v>
      </c>
      <c r="L7" s="9" t="n">
        <f aca="false">L6*(1+G7)</f>
        <v>233244</v>
      </c>
      <c r="M7" s="9" t="n">
        <f aca="false">L7*H7</f>
        <v>36905</v>
      </c>
      <c r="N7" s="9" t="n">
        <f aca="false">L7*I7</f>
        <v>11264</v>
      </c>
      <c r="O7" s="9" t="n">
        <f aca="false">M7-N7</f>
        <v>25641</v>
      </c>
      <c r="P7" s="8" t="n">
        <f aca="false">H7-I7</f>
        <v>0.109932088285229</v>
      </c>
      <c r="Q7" s="9" t="n">
        <f aca="false">L7*K7</f>
        <v>14706</v>
      </c>
      <c r="R7" s="9" t="n">
        <f aca="false">Q7-Q6</f>
        <v>1899</v>
      </c>
      <c r="S7" s="9" t="n">
        <f aca="false">J7*E7</f>
        <v>234</v>
      </c>
      <c r="T7" s="9" t="n">
        <f aca="false">O7*E7</f>
        <v>25641</v>
      </c>
    </row>
    <row r="8" customFormat="false" ht="15" hidden="false" customHeight="false" outlineLevel="0" collapsed="false">
      <c r="A8" s="0" t="n">
        <v>4</v>
      </c>
      <c r="B8" s="7" t="n">
        <f aca="false">C7</f>
        <v>45627</v>
      </c>
      <c r="C8" s="7" t="n">
        <f aca="false">EDATE(B8,12)</f>
        <v>45992</v>
      </c>
      <c r="D8" s="7" t="n">
        <f aca="false">MAX(B8,Inputs!$B$7)</f>
        <v>45627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0.183773216031281</v>
      </c>
      <c r="H8" s="8" t="n">
        <f aca="false">INDEX(Scenarios!$D$5:$D$36,(Inputs!$B$5-1)*8+A8)</f>
        <v>0.166344329030669</v>
      </c>
      <c r="I8" s="8" t="n">
        <f aca="false">INDEX(Scenarios!$E$5:$E$36,(Inputs!$B$5-1)*8+A8)</f>
        <v>0.0477784055514509</v>
      </c>
      <c r="J8" s="9" t="n">
        <f aca="false">INDEX(Scenarios!$F$5:$F$36,(Inputs!$B$5-1)*8+A8)</f>
        <v>345</v>
      </c>
      <c r="K8" s="8" t="n">
        <f aca="false">Inputs!B34</f>
        <v>0.0606103408811045</v>
      </c>
      <c r="L8" s="9" t="n">
        <f aca="false">L7*(1+G8)</f>
        <v>276108</v>
      </c>
      <c r="M8" s="9" t="n">
        <f aca="false">L8*H8</f>
        <v>45929</v>
      </c>
      <c r="N8" s="9" t="n">
        <f aca="false">L8*I8</f>
        <v>13192</v>
      </c>
      <c r="O8" s="9" t="n">
        <f aca="false">M8-N8</f>
        <v>32737</v>
      </c>
      <c r="P8" s="8" t="n">
        <f aca="false">H8-I8</f>
        <v>0.118565923479218</v>
      </c>
      <c r="Q8" s="9" t="n">
        <f aca="false">L8*K8</f>
        <v>16735</v>
      </c>
      <c r="R8" s="9" t="n">
        <f aca="false">Q8-Q7</f>
        <v>2029</v>
      </c>
      <c r="S8" s="9" t="n">
        <f aca="false">J8*E8</f>
        <v>345</v>
      </c>
      <c r="T8" s="9" t="n">
        <f aca="false">O8*E8</f>
        <v>32737</v>
      </c>
    </row>
    <row r="9" customFormat="false" ht="15" hidden="false" customHeight="false" outlineLevel="0" collapsed="false">
      <c r="A9" s="0" t="n">
        <v>5</v>
      </c>
      <c r="B9" s="7" t="n">
        <f aca="false">C8</f>
        <v>45992</v>
      </c>
      <c r="C9" s="7" t="n">
        <f aca="false">EDATE(B9,12)</f>
        <v>46357</v>
      </c>
      <c r="D9" s="7" t="n">
        <f aca="false">MAX(B9,Inputs!$B$7)</f>
        <v>45992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0.158745853071986</v>
      </c>
      <c r="H9" s="8" t="n">
        <f aca="false">INDEX(Scenarios!$D$5:$D$36,(Inputs!$B$5-1)*8+A9)</f>
        <v>0.172132812817443</v>
      </c>
      <c r="I9" s="8" t="n">
        <f aca="false">INDEX(Scenarios!$E$5:$E$36,(Inputs!$B$5-1)*8+A9)</f>
        <v>0.047518433201329</v>
      </c>
      <c r="J9" s="9" t="n">
        <f aca="false">INDEX(Scenarios!$F$5:$F$36,(Inputs!$B$5-1)*8+A9)</f>
        <v>400</v>
      </c>
      <c r="K9" s="8" t="n">
        <f aca="false">Inputs!B35</f>
        <v>0.0590487561691447</v>
      </c>
      <c r="L9" s="9" t="n">
        <f aca="false">L8*(1+G9)</f>
        <v>319939</v>
      </c>
      <c r="M9" s="9" t="n">
        <f aca="false">L9*H9</f>
        <v>55072</v>
      </c>
      <c r="N9" s="9" t="n">
        <f aca="false">L9*I9</f>
        <v>15203</v>
      </c>
      <c r="O9" s="9" t="n">
        <f aca="false">M9-N9</f>
        <v>39869</v>
      </c>
      <c r="P9" s="8" t="n">
        <f aca="false">H9-I9</f>
        <v>0.124614379616114</v>
      </c>
      <c r="Q9" s="9" t="n">
        <f aca="false">L9*K9</f>
        <v>18892</v>
      </c>
      <c r="R9" s="9" t="n">
        <f aca="false">Q9-Q8</f>
        <v>2157</v>
      </c>
      <c r="S9" s="9" t="n">
        <f aca="false">J9*E9</f>
        <v>400</v>
      </c>
      <c r="T9" s="9" t="n">
        <f aca="false">O9*E9</f>
        <v>39869</v>
      </c>
    </row>
    <row r="10" customFormat="false" ht="15" hidden="false" customHeight="false" outlineLevel="0" collapsed="false">
      <c r="A10" s="0" t="n">
        <v>6</v>
      </c>
      <c r="B10" s="7" t="n">
        <f aca="false">C9</f>
        <v>46357</v>
      </c>
      <c r="C10" s="7" t="n">
        <f aca="false">EDATE(B10,12)</f>
        <v>46722</v>
      </c>
      <c r="D10" s="7" t="n">
        <f aca="false">MAX(B10,Inputs!$B$7)</f>
        <v>46357</v>
      </c>
      <c r="E10" s="8" t="n">
        <f aca="false">(C10-D10)/(C10-B10)</f>
        <v>1</v>
      </c>
      <c r="F10" s="8" t="n">
        <f aca="false">(C10-D10)/365</f>
        <v>1</v>
      </c>
      <c r="G10" s="8" t="n">
        <f aca="false">INDEX(Scenarios!$C$5:$C$36,(Inputs!$B$5-1)*8+A10)</f>
        <v>0.13</v>
      </c>
      <c r="H10" s="8" t="n">
        <f aca="false">INDEX(Scenarios!$D$5:$D$36,(Inputs!$B$5-1)*8+A10)</f>
        <v>0.175132812817443</v>
      </c>
      <c r="I10" s="8" t="n">
        <f aca="false">INDEX(Scenarios!$E$5:$E$36,(Inputs!$B$5-1)*8+A10)</f>
        <v>0.047518433201329</v>
      </c>
      <c r="J10" s="9" t="n">
        <f aca="false">INDEX(Scenarios!$F$5:$F$36,(Inputs!$B$5-1)*8+A10)</f>
        <v>443</v>
      </c>
      <c r="K10" s="8" t="n">
        <f aca="false">Inputs!B36</f>
        <v>0.0590487561691447</v>
      </c>
      <c r="L10" s="9" t="n">
        <f aca="false">L9*(1+G10)</f>
        <v>361531.07</v>
      </c>
      <c r="M10" s="9" t="n">
        <f aca="false">L10*H10</f>
        <v>63315.95321</v>
      </c>
      <c r="N10" s="9" t="n">
        <f aca="false">L10*I10</f>
        <v>17179.39</v>
      </c>
      <c r="O10" s="9" t="n">
        <f aca="false">M10-N10</f>
        <v>46136.56321</v>
      </c>
      <c r="P10" s="8" t="n">
        <f aca="false">H10-I10</f>
        <v>0.127614379616114</v>
      </c>
      <c r="Q10" s="9" t="n">
        <f aca="false">L10*K10</f>
        <v>21347.96</v>
      </c>
      <c r="R10" s="9" t="n">
        <f aca="false">Q10-Q9</f>
        <v>2455.96</v>
      </c>
      <c r="S10" s="9" t="n">
        <f aca="false">J10*E10</f>
        <v>443</v>
      </c>
      <c r="T10" s="9" t="n">
        <f aca="false">O10*E10</f>
        <v>46136.56321</v>
      </c>
    </row>
    <row r="11" customFormat="false" ht="15" hidden="false" customHeight="false" outlineLevel="0" collapsed="false">
      <c r="A11" s="0" t="n">
        <v>7</v>
      </c>
      <c r="B11" s="7" t="n">
        <f aca="false">C10</f>
        <v>46722</v>
      </c>
      <c r="C11" s="7" t="n">
        <f aca="false">EDATE(B11,12)</f>
        <v>47088</v>
      </c>
      <c r="D11" s="7" t="n">
        <f aca="false">MAX(B11,Inputs!$B$7)</f>
        <v>46722</v>
      </c>
      <c r="E11" s="8" t="n">
        <f aca="false">(C11-D11)/(C11-B11)</f>
        <v>1</v>
      </c>
      <c r="F11" s="8" t="n">
        <f aca="false">(C11-D11)/365</f>
        <v>1.0027397260274</v>
      </c>
      <c r="G11" s="8" t="n">
        <f aca="false">INDEX(Scenarios!$C$5:$C$36,(Inputs!$B$5-1)*8+A11)</f>
        <v>0.12</v>
      </c>
      <c r="H11" s="8" t="n">
        <f aca="false">INDEX(Scenarios!$D$5:$D$36,(Inputs!$B$5-1)*8+A11)</f>
        <v>0.178132812817443</v>
      </c>
      <c r="I11" s="8" t="n">
        <f aca="false">INDEX(Scenarios!$E$5:$E$36,(Inputs!$B$5-1)*8+A11)</f>
        <v>0.047518433201329</v>
      </c>
      <c r="J11" s="9" t="n">
        <f aca="false">INDEX(Scenarios!$F$5:$F$36,(Inputs!$B$5-1)*8+A11)</f>
        <v>486</v>
      </c>
      <c r="K11" s="8" t="n">
        <f aca="false">Inputs!B37</f>
        <v>0.0590487561691447</v>
      </c>
      <c r="L11" s="9" t="n">
        <f aca="false">L10*(1+G11)</f>
        <v>404914.7984</v>
      </c>
      <c r="M11" s="9" t="n">
        <f aca="false">L11*H11</f>
        <v>72128.6119904</v>
      </c>
      <c r="N11" s="9" t="n">
        <f aca="false">L11*I11</f>
        <v>19240.9168</v>
      </c>
      <c r="O11" s="9" t="n">
        <f aca="false">M11-N11</f>
        <v>52887.6951904</v>
      </c>
      <c r="P11" s="8" t="n">
        <f aca="false">H11-I11</f>
        <v>0.130614379616114</v>
      </c>
      <c r="Q11" s="9" t="n">
        <f aca="false">L11*K11</f>
        <v>23909.7152</v>
      </c>
      <c r="R11" s="9" t="n">
        <f aca="false">Q11-Q10</f>
        <v>2561.7552</v>
      </c>
      <c r="S11" s="9" t="n">
        <f aca="false">J11*E11</f>
        <v>486</v>
      </c>
      <c r="T11" s="9" t="n">
        <f aca="false">O11*E11</f>
        <v>52887.6951904</v>
      </c>
    </row>
    <row r="12" customFormat="false" ht="15" hidden="false" customHeight="false" outlineLevel="0" collapsed="false">
      <c r="A12" s="0" t="n">
        <v>8</v>
      </c>
      <c r="B12" s="7" t="n">
        <f aca="false">C11</f>
        <v>47088</v>
      </c>
      <c r="C12" s="7" t="n">
        <f aca="false">EDATE(B12,12)</f>
        <v>47453</v>
      </c>
      <c r="D12" s="7" t="n">
        <f aca="false">MAX(B12,Inputs!$B$7)</f>
        <v>47088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0.11</v>
      </c>
      <c r="H12" s="8" t="n">
        <f aca="false">INDEX(Scenarios!$D$5:$D$36,(Inputs!$B$5-1)*8+A12)</f>
        <v>0.181132812817443</v>
      </c>
      <c r="I12" s="8" t="n">
        <f aca="false">INDEX(Scenarios!$E$5:$E$36,(Inputs!$B$5-1)*8+A12)</f>
        <v>0.047518433201329</v>
      </c>
      <c r="J12" s="9" t="n">
        <f aca="false">INDEX(Scenarios!$F$5:$F$36,(Inputs!$B$5-1)*8+A12)</f>
        <v>529</v>
      </c>
      <c r="K12" s="8" t="n">
        <f aca="false">Inputs!B38</f>
        <v>0.0590487561691447</v>
      </c>
      <c r="L12" s="9" t="n">
        <f aca="false">L11*(1+G12)</f>
        <v>449455.426224</v>
      </c>
      <c r="M12" s="9" t="n">
        <f aca="false">L12*H12</f>
        <v>81411.125588016</v>
      </c>
      <c r="N12" s="9" t="n">
        <f aca="false">L12*I12</f>
        <v>21357.417648</v>
      </c>
      <c r="O12" s="9" t="n">
        <f aca="false">M12-N12</f>
        <v>60053.707940016</v>
      </c>
      <c r="P12" s="8" t="n">
        <f aca="false">H12-I12</f>
        <v>0.133614379616114</v>
      </c>
      <c r="Q12" s="9" t="n">
        <f aca="false">L12*K12</f>
        <v>26539.783872</v>
      </c>
      <c r="R12" s="9" t="n">
        <f aca="false">Q12-Q11</f>
        <v>2630.068672</v>
      </c>
      <c r="S12" s="9" t="n">
        <f aca="false">J12*E12</f>
        <v>529</v>
      </c>
      <c r="T12" s="9" t="n">
        <f aca="false">O12*E12</f>
        <v>60053.707940016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89</v>
      </c>
    </row>
    <row r="2" customFormat="false" ht="15" hidden="false" customHeight="false" outlineLevel="0" collapsed="false">
      <c r="A2" s="0" t="s">
        <v>90</v>
      </c>
    </row>
    <row r="4" customFormat="false" ht="43.5" hidden="false" customHeight="true" outlineLevel="0" collapsed="false">
      <c r="A4" s="2" t="s">
        <v>64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98</v>
      </c>
      <c r="J4" s="2" t="s">
        <v>99</v>
      </c>
      <c r="K4" s="2" t="s">
        <v>100</v>
      </c>
      <c r="L4" s="2" t="s">
        <v>101</v>
      </c>
      <c r="M4" s="2" t="s">
        <v>102</v>
      </c>
      <c r="N4" s="2" t="s">
        <v>103</v>
      </c>
      <c r="O4" s="2" t="s">
        <v>104</v>
      </c>
      <c r="P4" s="2" t="s">
        <v>105</v>
      </c>
      <c r="Q4" s="2" t="s">
        <v>106</v>
      </c>
      <c r="R4" s="2" t="s">
        <v>107</v>
      </c>
      <c r="S4" s="2" t="s">
        <v>108</v>
      </c>
      <c r="T4" s="2" t="s">
        <v>109</v>
      </c>
      <c r="U4" s="2" t="s">
        <v>110</v>
      </c>
      <c r="V4" s="2" t="s">
        <v>111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117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60000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2988.49315068493</v>
      </c>
      <c r="G5" s="9" t="n">
        <f aca="false">IF(B5,D5*Inputs!$B$25*Forecast!F5,"")</f>
        <v>0</v>
      </c>
      <c r="H5" s="9" t="n">
        <f aca="false">IF(B5,F5+G5,"")</f>
        <v>2988.49315068493</v>
      </c>
      <c r="I5" s="9" t="n">
        <f aca="false">IF(B5,C5*Inputs!$B$20*Forecast!F5,"")</f>
        <v>0</v>
      </c>
      <c r="J5" s="9" t="n">
        <f aca="false">IF(B5,MAX(Forecast!T5-H5,0)*Inputs!$B$14,"")</f>
        <v>2117.26438356164</v>
      </c>
      <c r="K5" s="9" t="n">
        <f aca="false">IF(B5,Forecast!T5-Forecast!S5-Forecast!R5-J5,"")</f>
        <v>5515.43972602739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2526.94657534246</v>
      </c>
      <c r="O5" s="9" t="n">
        <f aca="false">IF(B5,MAX(L5+M5-N5,0),"")</f>
        <v>0</v>
      </c>
      <c r="P5" s="9" t="n">
        <f aca="false">IF(B5,IF(A5&lt;Inputs!$B$26,MAX(Inputs!$B$24-D5,0),0),"")</f>
        <v>15000</v>
      </c>
      <c r="Q5" s="9" t="n">
        <f aca="false">IF(B5,MAX(O5-P5,0),"")</f>
        <v>0</v>
      </c>
      <c r="R5" s="9" t="str">
        <f aca="false">IF(B5,IF(Q5&gt;0.00000001,"liquidity_shortfall","ok"),"not_projected")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2526.94657534246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2526.94657534246</v>
      </c>
      <c r="Y5" s="9" t="n">
        <f aca="false">IF(R5="ok",MIN(X5*Inputs!$B$22,C5+I5-L5),"")</f>
        <v>0</v>
      </c>
      <c r="Z5" s="9" t="n">
        <f aca="false">IF(R5="ok",C5+I5-L5-Y5,"")</f>
        <v>60000</v>
      </c>
      <c r="AA5" s="9" t="n">
        <f aca="false">IF(R5="ok",U5-V5,"")</f>
        <v>0</v>
      </c>
      <c r="AB5" s="9" t="n">
        <f aca="false">IF(R5="ok",X5-Y5,"")</f>
        <v>2526.94657534246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1</v>
      </c>
      <c r="C6" s="9" t="n">
        <f aca="false">IF(B6,Z5,"")</f>
        <v>60000</v>
      </c>
      <c r="D6" s="9" t="n">
        <f aca="false">IF(B6,AA5,"")</f>
        <v>0</v>
      </c>
      <c r="E6" s="9" t="n">
        <f aca="false">IF(B6,AB5,"")</f>
        <v>2526.94657534246</v>
      </c>
      <c r="F6" s="9" t="n">
        <f aca="false">IF(B6,C6*Inputs!$B$19*Forecast!F6,"")</f>
        <v>3600</v>
      </c>
      <c r="G6" s="9" t="n">
        <f aca="false">IF(B6,D6*Inputs!$B$25*Forecast!F6,"")</f>
        <v>0</v>
      </c>
      <c r="H6" s="9" t="n">
        <f aca="false">IF(B6,F6+G6,"")</f>
        <v>3600</v>
      </c>
      <c r="I6" s="9" t="n">
        <f aca="false">IF(B6,C6*Inputs!$B$20*Forecast!F6,"")</f>
        <v>0</v>
      </c>
      <c r="J6" s="9" t="n">
        <f aca="false">IF(B6,MAX(Forecast!T6-H6,0)*Inputs!$B$14,"")</f>
        <v>3916.5</v>
      </c>
      <c r="K6" s="9" t="n">
        <f aca="false">IF(B6,Forecast!T6-Forecast!S6-Forecast!R6-J6,"")</f>
        <v>12786.5</v>
      </c>
      <c r="L6" s="9" t="n">
        <f aca="false">IF(B6,IF(A6&gt;=Inputs!$B$23,C6+I6,MIN(C6+I6,Inputs!$B$18*Inputs!$B$21*Forecast!E6)),"")</f>
        <v>0</v>
      </c>
      <c r="M6" s="9" t="n">
        <f aca="false">IF(B6,IF(A6&gt;=Inputs!$B$26,D6,0),"")</f>
        <v>0</v>
      </c>
      <c r="N6" s="9" t="n">
        <f aca="false">IF(B6,E6+K6-H6,"")</f>
        <v>11713.4465753425</v>
      </c>
      <c r="O6" s="9" t="n">
        <f aca="false">IF(B6,MAX(L6+M6-N6,0),"")</f>
        <v>0</v>
      </c>
      <c r="P6" s="9" t="n">
        <f aca="false">IF(B6,IF(A6&lt;Inputs!$B$26,MAX(Inputs!$B$24-D6,0),0),"")</f>
        <v>15000</v>
      </c>
      <c r="Q6" s="9" t="n">
        <f aca="false">IF(B6,MAX(O6-P6,0),"")</f>
        <v>0</v>
      </c>
      <c r="R6" s="9" t="str">
        <f aca="false">IF(B6,IF(Q6&gt;0.00000001,"liquidity_shortfall","ok"),"not_projected")</f>
        <v>ok</v>
      </c>
      <c r="S6" s="9" t="n">
        <f aca="false">IF(R6="ok",MIN(O6,P6),"")</f>
        <v>0</v>
      </c>
      <c r="T6" s="9" t="n">
        <f aca="false">IF(R6="ok",MAX(N6+S6-L6-M6,0),"")</f>
        <v>11713.4465753425</v>
      </c>
      <c r="U6" s="9" t="n">
        <f aca="false">IF(R6="ok",D6+S6-M6,"")</f>
        <v>0</v>
      </c>
      <c r="V6" s="9" t="n">
        <f aca="false">IF(R6="ok",MIN(T6,U6),"")</f>
        <v>0</v>
      </c>
      <c r="W6" s="9" t="n">
        <f aca="false">IF(R6="ok",M6+V6,"")</f>
        <v>0</v>
      </c>
      <c r="X6" s="9" t="n">
        <f aca="false">IF(R6="ok",T6-V6,"")</f>
        <v>11713.4465753425</v>
      </c>
      <c r="Y6" s="9" t="n">
        <f aca="false">IF(R6="ok",MIN(X6*Inputs!$B$22,C6+I6-L6),"")</f>
        <v>0</v>
      </c>
      <c r="Z6" s="9" t="n">
        <f aca="false">IF(R6="ok",C6+I6-L6-Y6,"")</f>
        <v>60000</v>
      </c>
      <c r="AA6" s="9" t="n">
        <f aca="false">IF(R6="ok",U6-V6,"")</f>
        <v>0</v>
      </c>
      <c r="AB6" s="9" t="n">
        <f aca="false">IF(R6="ok",X6-Y6,"")</f>
        <v>11713.4465753425</v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1</v>
      </c>
      <c r="C7" s="9" t="n">
        <f aca="false">IF(B7,Z6,"")</f>
        <v>60000</v>
      </c>
      <c r="D7" s="9" t="n">
        <f aca="false">IF(B7,AA6,"")</f>
        <v>0</v>
      </c>
      <c r="E7" s="9" t="n">
        <f aca="false">IF(B7,AB6,"")</f>
        <v>11713.4465753425</v>
      </c>
      <c r="F7" s="9" t="n">
        <f aca="false">IF(B7,C7*Inputs!$B$19*Forecast!F7,"")</f>
        <v>3609.86301369863</v>
      </c>
      <c r="G7" s="9" t="n">
        <f aca="false">IF(B7,D7*Inputs!$B$25*Forecast!F7,"")</f>
        <v>0</v>
      </c>
      <c r="H7" s="9" t="n">
        <f aca="false">IF(B7,F7+G7,"")</f>
        <v>3609.86301369863</v>
      </c>
      <c r="I7" s="9" t="n">
        <f aca="false">IF(B7,C7*Inputs!$B$20*Forecast!F7,"")</f>
        <v>0</v>
      </c>
      <c r="J7" s="9" t="n">
        <f aca="false">IF(B7,MAX(Forecast!T7-H7,0)*Inputs!$B$14,"")</f>
        <v>5507.78424657534</v>
      </c>
      <c r="K7" s="9" t="n">
        <f aca="false">IF(B7,Forecast!T7-Forecast!S7-Forecast!R7-J7,"")</f>
        <v>18000.2157534247</v>
      </c>
      <c r="L7" s="9" t="n">
        <f aca="false">IF(B7,IF(A7&gt;=Inputs!$B$23,C7+I7,MIN(C7+I7,Inputs!$B$18*Inputs!$B$21*Forecast!E7)),"")</f>
        <v>0</v>
      </c>
      <c r="M7" s="9" t="n">
        <f aca="false">IF(B7,IF(A7&gt;=Inputs!$B$26,D7,0),"")</f>
        <v>0</v>
      </c>
      <c r="N7" s="9" t="n">
        <f aca="false">IF(B7,E7+K7-H7,"")</f>
        <v>26103.7993150685</v>
      </c>
      <c r="O7" s="9" t="n">
        <f aca="false">IF(B7,MAX(L7+M7-N7,0),"")</f>
        <v>0</v>
      </c>
      <c r="P7" s="9" t="n">
        <f aca="false">IF(B7,IF(A7&lt;Inputs!$B$26,MAX(Inputs!$B$24-D7,0),0),"")</f>
        <v>15000</v>
      </c>
      <c r="Q7" s="9" t="n">
        <f aca="false">IF(B7,MAX(O7-P7,0),"")</f>
        <v>0</v>
      </c>
      <c r="R7" s="9" t="str">
        <f aca="false">IF(B7,IF(Q7&gt;0.00000001,"liquidity_shortfall","ok"),"not_projected")</f>
        <v>ok</v>
      </c>
      <c r="S7" s="9" t="n">
        <f aca="false">IF(R7="ok",MIN(O7,P7),"")</f>
        <v>0</v>
      </c>
      <c r="T7" s="9" t="n">
        <f aca="false">IF(R7="ok",MAX(N7+S7-L7-M7,0),"")</f>
        <v>26103.7993150685</v>
      </c>
      <c r="U7" s="9" t="n">
        <f aca="false">IF(R7="ok",D7+S7-M7,"")</f>
        <v>0</v>
      </c>
      <c r="V7" s="9" t="n">
        <f aca="false">IF(R7="ok",MIN(T7,U7),"")</f>
        <v>0</v>
      </c>
      <c r="W7" s="9" t="n">
        <f aca="false">IF(R7="ok",M7+V7,"")</f>
        <v>0</v>
      </c>
      <c r="X7" s="9" t="n">
        <f aca="false">IF(R7="ok",T7-V7,"")</f>
        <v>26103.7993150685</v>
      </c>
      <c r="Y7" s="9" t="n">
        <f aca="false">IF(R7="ok",MIN(X7*Inputs!$B$22,C7+I7-L7),"")</f>
        <v>0</v>
      </c>
      <c r="Z7" s="9" t="n">
        <f aca="false">IF(R7="ok",C7+I7-L7-Y7,"")</f>
        <v>60000</v>
      </c>
      <c r="AA7" s="9" t="n">
        <f aca="false">IF(R7="ok",U7-V7,"")</f>
        <v>0</v>
      </c>
      <c r="AB7" s="9" t="n">
        <f aca="false">IF(R7="ok",X7-Y7,"")</f>
        <v>26103.7993150685</v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1</v>
      </c>
      <c r="C8" s="9" t="n">
        <f aca="false">IF(B8,Z7,"")</f>
        <v>60000</v>
      </c>
      <c r="D8" s="9" t="n">
        <f aca="false">IF(B8,AA7,"")</f>
        <v>0</v>
      </c>
      <c r="E8" s="9" t="n">
        <f aca="false">IF(B8,AB7,"")</f>
        <v>26103.7993150685</v>
      </c>
      <c r="F8" s="9" t="n">
        <f aca="false">IF(B8,C8*Inputs!$B$19*Forecast!F8,"")</f>
        <v>3600</v>
      </c>
      <c r="G8" s="9" t="n">
        <f aca="false">IF(B8,D8*Inputs!$B$25*Forecast!F8,"")</f>
        <v>0</v>
      </c>
      <c r="H8" s="9" t="n">
        <f aca="false">IF(B8,F8+G8,"")</f>
        <v>3600</v>
      </c>
      <c r="I8" s="9" t="n">
        <f aca="false">IF(B8,C8*Inputs!$B$20*Forecast!F8,"")</f>
        <v>0</v>
      </c>
      <c r="J8" s="9" t="n">
        <f aca="false">IF(B8,MAX(Forecast!T8-H8,0)*Inputs!$B$14,"")</f>
        <v>7284.24999999999</v>
      </c>
      <c r="K8" s="9" t="n">
        <f aca="false">IF(B8,Forecast!T8-Forecast!S8-Forecast!R8-J8,"")</f>
        <v>23078.75</v>
      </c>
      <c r="L8" s="9" t="n">
        <f aca="false">IF(B8,IF(A8&gt;=Inputs!$B$23,C8+I8,MIN(C8+I8,Inputs!$B$18*Inputs!$B$21*Forecast!E8)),"")</f>
        <v>0</v>
      </c>
      <c r="M8" s="9" t="n">
        <f aca="false">IF(B8,IF(A8&gt;=Inputs!$B$26,D8,0),"")</f>
        <v>0</v>
      </c>
      <c r="N8" s="9" t="n">
        <f aca="false">IF(B8,E8+K8-H8,"")</f>
        <v>45582.5493150685</v>
      </c>
      <c r="O8" s="9" t="n">
        <f aca="false">IF(B8,MAX(L8+M8-N8,0),"")</f>
        <v>0</v>
      </c>
      <c r="P8" s="9" t="n">
        <f aca="false">IF(B8,IF(A8&lt;Inputs!$B$26,MAX(Inputs!$B$24-D8,0),0),"")</f>
        <v>15000</v>
      </c>
      <c r="Q8" s="9" t="n">
        <f aca="false">IF(B8,MAX(O8-P8,0),"")</f>
        <v>0</v>
      </c>
      <c r="R8" s="9" t="str">
        <f aca="false">IF(B8,IF(Q8&gt;0.00000001,"liquidity_shortfall","ok"),"not_projected")</f>
        <v>ok</v>
      </c>
      <c r="S8" s="9" t="n">
        <f aca="false">IF(R8="ok",MIN(O8,P8),"")</f>
        <v>0</v>
      </c>
      <c r="T8" s="9" t="n">
        <f aca="false">IF(R8="ok",MAX(N8+S8-L8-M8,0),"")</f>
        <v>45582.5493150685</v>
      </c>
      <c r="U8" s="9" t="n">
        <f aca="false">IF(R8="ok",D8+S8-M8,"")</f>
        <v>0</v>
      </c>
      <c r="V8" s="9" t="n">
        <f aca="false">IF(R8="ok",MIN(T8,U8),"")</f>
        <v>0</v>
      </c>
      <c r="W8" s="9" t="n">
        <f aca="false">IF(R8="ok",M8+V8,"")</f>
        <v>0</v>
      </c>
      <c r="X8" s="9" t="n">
        <f aca="false">IF(R8="ok",T8-V8,"")</f>
        <v>45582.5493150685</v>
      </c>
      <c r="Y8" s="9" t="n">
        <f aca="false">IF(R8="ok",MIN(X8*Inputs!$B$22,C8+I8-L8),"")</f>
        <v>0</v>
      </c>
      <c r="Z8" s="9" t="n">
        <f aca="false">IF(R8="ok",C8+I8-L8-Y8,"")</f>
        <v>60000</v>
      </c>
      <c r="AA8" s="9" t="n">
        <f aca="false">IF(R8="ok",U8-V8,"")</f>
        <v>0</v>
      </c>
      <c r="AB8" s="9" t="n">
        <f aca="false">IF(R8="ok",X8-Y8,"")</f>
        <v>45582.5493150685</v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1</v>
      </c>
      <c r="C9" s="9" t="n">
        <f aca="false">IF(B9,Z8,"")</f>
        <v>60000</v>
      </c>
      <c r="D9" s="9" t="n">
        <f aca="false">IF(B9,AA8,"")</f>
        <v>0</v>
      </c>
      <c r="E9" s="9" t="n">
        <f aca="false">IF(B9,AB8,"")</f>
        <v>45582.5493150685</v>
      </c>
      <c r="F9" s="9" t="n">
        <f aca="false">IF(B9,C9*Inputs!$B$19*Forecast!F9,"")</f>
        <v>3600</v>
      </c>
      <c r="G9" s="9" t="n">
        <f aca="false">IF(B9,D9*Inputs!$B$25*Forecast!F9,"")</f>
        <v>0</v>
      </c>
      <c r="H9" s="9" t="n">
        <f aca="false">IF(B9,F9+G9,"")</f>
        <v>3600</v>
      </c>
      <c r="I9" s="9" t="n">
        <f aca="false">IF(B9,C9*Inputs!$B$20*Forecast!F9,"")</f>
        <v>0</v>
      </c>
      <c r="J9" s="9" t="n">
        <f aca="false">IF(B9,MAX(Forecast!T9-H9,0)*Inputs!$B$14,"")</f>
        <v>9067.25</v>
      </c>
      <c r="K9" s="9" t="n">
        <f aca="false">IF(B9,Forecast!T9-Forecast!S9-Forecast!R9-J9,"")</f>
        <v>28244.75</v>
      </c>
      <c r="L9" s="9" t="n">
        <f aca="false">IF(B9,IF(A9&gt;=Inputs!$B$23,C9+I9,MIN(C9+I9,Inputs!$B$18*Inputs!$B$21*Forecast!E9)),"")</f>
        <v>0</v>
      </c>
      <c r="M9" s="9" t="n">
        <f aca="false">IF(B9,IF(A9&gt;=Inputs!$B$26,D9,0),"")</f>
        <v>0</v>
      </c>
      <c r="N9" s="9" t="n">
        <f aca="false">IF(B9,E9+K9-H9,"")</f>
        <v>70227.2993150685</v>
      </c>
      <c r="O9" s="9" t="n">
        <f aca="false">IF(B9,MAX(L9+M9-N9,0),"")</f>
        <v>0</v>
      </c>
      <c r="P9" s="9" t="n">
        <f aca="false">IF(B9,IF(A9&lt;Inputs!$B$26,MAX(Inputs!$B$24-D9,0),0),"")</f>
        <v>15000</v>
      </c>
      <c r="Q9" s="9" t="n">
        <f aca="false">IF(B9,MAX(O9-P9,0),"")</f>
        <v>0</v>
      </c>
      <c r="R9" s="9" t="str">
        <f aca="false">IF(B9,IF(Q9&gt;0.00000001,"liquidity_shortfall","ok"),"not_projected")</f>
        <v>ok</v>
      </c>
      <c r="S9" s="9" t="n">
        <f aca="false">IF(R9="ok",MIN(O9,P9),"")</f>
        <v>0</v>
      </c>
      <c r="T9" s="9" t="n">
        <f aca="false">IF(R9="ok",MAX(N9+S9-L9-M9,0),"")</f>
        <v>70227.2993150685</v>
      </c>
      <c r="U9" s="9" t="n">
        <f aca="false">IF(R9="ok",D9+S9-M9,"")</f>
        <v>0</v>
      </c>
      <c r="V9" s="9" t="n">
        <f aca="false">IF(R9="ok",MIN(T9,U9),"")</f>
        <v>0</v>
      </c>
      <c r="W9" s="9" t="n">
        <f aca="false">IF(R9="ok",M9+V9,"")</f>
        <v>0</v>
      </c>
      <c r="X9" s="9" t="n">
        <f aca="false">IF(R9="ok",T9-V9,"")</f>
        <v>70227.2993150685</v>
      </c>
      <c r="Y9" s="9" t="n">
        <f aca="false">IF(R9="ok",MIN(X9*Inputs!$B$22,C9+I9-L9),"")</f>
        <v>0</v>
      </c>
      <c r="Z9" s="9" t="n">
        <f aca="false">IF(R9="ok",C9+I9-L9-Y9,"")</f>
        <v>60000</v>
      </c>
      <c r="AA9" s="9" t="n">
        <f aca="false">IF(R9="ok",U9-V9,"")</f>
        <v>0</v>
      </c>
      <c r="AB9" s="9" t="n">
        <f aca="false">IF(R9="ok",X9-Y9,"")</f>
        <v>70227.2993150685</v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IF(B10,IF(Q10&gt;0.00000001,"liquidity_shortfall","ok"),"not_projected")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IF(B11,IF(Q11&gt;0.00000001,"liquidity_shortfall","ok"),"not_projected")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IF(B12,IF(Q12&gt;0.00000001,"liquidity_shortfall","ok"),"not_projected")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118</v>
      </c>
    </row>
    <row r="4" customFormat="false" ht="43.5" hidden="false" customHeight="true" outlineLevel="0" collapsed="false">
      <c r="A4" s="2" t="s">
        <v>119</v>
      </c>
      <c r="B4" s="2" t="s">
        <v>2</v>
      </c>
    </row>
    <row r="5" customFormat="false" ht="15" hidden="false" customHeight="false" outlineLevel="0" collapsed="false">
      <c r="A5" s="0" t="s">
        <v>120</v>
      </c>
      <c r="B5" s="9" t="n">
        <f aca="false">Forecast!O5</f>
        <v>13802</v>
      </c>
    </row>
    <row r="6" customFormat="false" ht="15" hidden="false" customHeight="false" outlineLevel="0" collapsed="false">
      <c r="A6" s="0" t="s">
        <v>121</v>
      </c>
      <c r="B6" s="9" t="n">
        <f aca="false">B5*Inputs!$B$11</f>
        <v>110416</v>
      </c>
    </row>
    <row r="7" customFormat="false" ht="15" hidden="false" customHeight="false" outlineLevel="0" collapsed="false">
      <c r="A7" s="0" t="s">
        <v>122</v>
      </c>
      <c r="B7" s="9" t="n">
        <f aca="false">B6-Inputs!$B$18</f>
        <v>50415.9999999999</v>
      </c>
    </row>
    <row r="8" customFormat="false" ht="15" hidden="false" customHeight="false" outlineLevel="0" collapsed="false">
      <c r="A8" s="0" t="s">
        <v>123</v>
      </c>
      <c r="B8" s="9" t="n">
        <f aca="false">B7*Inputs!$B$15</f>
        <v>5041.59999999999</v>
      </c>
    </row>
    <row r="9" customFormat="false" ht="15" hidden="false" customHeight="false" outlineLevel="0" collapsed="false">
      <c r="A9" s="0" t="s">
        <v>124</v>
      </c>
      <c r="B9" s="9" t="n">
        <f aca="false">B7-B8</f>
        <v>45374.3999999999</v>
      </c>
    </row>
    <row r="10" customFormat="false" ht="15" hidden="false" customHeight="false" outlineLevel="0" collapsed="false">
      <c r="A10" s="0" t="s">
        <v>125</v>
      </c>
      <c r="B10" s="9" t="n">
        <f aca="false">B7-B11</f>
        <v>49911.8399999999</v>
      </c>
    </row>
    <row r="11" customFormat="false" ht="15" hidden="false" customHeight="false" outlineLevel="0" collapsed="false">
      <c r="A11" s="0" t="s">
        <v>126</v>
      </c>
      <c r="B11" s="9" t="n">
        <f aca="false">B8*Inputs!$B$16</f>
        <v>504.159999999999</v>
      </c>
    </row>
    <row r="13" customFormat="false" ht="15" hidden="false" customHeight="false" outlineLevel="0" collapsed="false">
      <c r="A13" s="0" t="s">
        <v>127</v>
      </c>
      <c r="B13" s="7" t="n">
        <f aca="false">INDEX(Forecast!C5:C12,Inputs!$B$8)</f>
        <v>46357</v>
      </c>
    </row>
    <row r="14" customFormat="false" ht="15" hidden="false" customHeight="false" outlineLevel="0" collapsed="false">
      <c r="A14" s="0" t="s">
        <v>128</v>
      </c>
      <c r="B14" s="9" t="n">
        <f aca="false">(B13-Inputs!$B$7)/365</f>
        <v>4.83287671232877</v>
      </c>
    </row>
    <row r="16" customFormat="false" ht="15" hidden="false" customHeight="false" outlineLevel="0" collapsed="false">
      <c r="A16" s="0" t="s">
        <v>129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130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131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132</v>
      </c>
      <c r="B20" s="9" t="n">
        <f aca="false">IF($B$16="ok",INDEX(Forecast!O5:O12,Inputs!$B$8)*Inputs!$B$12,"")</f>
        <v>318952</v>
      </c>
    </row>
    <row r="21" customFormat="false" ht="15" hidden="false" customHeight="false" outlineLevel="0" collapsed="false">
      <c r="A21" s="0" t="s">
        <v>133</v>
      </c>
      <c r="B21" s="9" t="n">
        <f aca="false">IF($B$16="ok",MAX(B20,0)*Inputs!$B$13,"")</f>
        <v>9568.56</v>
      </c>
    </row>
    <row r="22" customFormat="false" ht="15" hidden="false" customHeight="false" outlineLevel="0" collapsed="false">
      <c r="A22" s="0" t="s">
        <v>134</v>
      </c>
      <c r="B22" s="9" t="n">
        <f aca="false">IF($B$16="ok",INDEX(Debt!Z5:Z12,Inputs!$B$8)+INDEX(Debt!AA5:AA12,Inputs!$B$8),"")</f>
        <v>60000</v>
      </c>
    </row>
    <row r="23" customFormat="false" ht="15" hidden="false" customHeight="false" outlineLevel="0" collapsed="false">
      <c r="A23" s="0" t="s">
        <v>135</v>
      </c>
      <c r="B23" s="9" t="n">
        <f aca="false">IF($B$16="ok",INDEX(Debt!AB5:AB12,Inputs!$B$8),"")</f>
        <v>70227.2993150685</v>
      </c>
    </row>
    <row r="24" customFormat="false" ht="15" hidden="false" customHeight="false" outlineLevel="0" collapsed="false">
      <c r="A24" s="0" t="s">
        <v>136</v>
      </c>
      <c r="B24" s="9" t="n">
        <f aca="false">IF($B$16="ok",B20-B21-B22+B23,"")</f>
        <v>319610.739315068</v>
      </c>
    </row>
    <row r="25" customFormat="false" ht="15" hidden="false" customHeight="false" outlineLevel="0" collapsed="false">
      <c r="A25" s="0" t="s">
        <v>137</v>
      </c>
      <c r="B25" s="9" t="n">
        <f aca="false">IF($B$16="ok",MAX(B24,0),"")</f>
        <v>319610.739315068</v>
      </c>
    </row>
    <row r="27" customFormat="false" ht="15" hidden="false" customHeight="false" outlineLevel="0" collapsed="false">
      <c r="A27" s="0" t="s">
        <v>138</v>
      </c>
      <c r="B27" s="9" t="n">
        <f aca="false">IF($B$16="ok",B9*(1+Inputs!$B$17)^B14,"")</f>
        <v>65817.8641299282</v>
      </c>
    </row>
    <row r="28" customFormat="false" ht="15" hidden="false" customHeight="false" outlineLevel="0" collapsed="false">
      <c r="A28" s="0" t="s">
        <v>139</v>
      </c>
      <c r="B28" s="9" t="n">
        <f aca="false">IF($B$16="ok",IF(B25-B27&lt;=0.000000000001*B25,B25,B27),"")</f>
        <v>65817.8641299282</v>
      </c>
    </row>
    <row r="29" customFormat="false" ht="15" hidden="false" customHeight="false" outlineLevel="0" collapsed="false">
      <c r="A29" s="0" t="s">
        <v>140</v>
      </c>
      <c r="B29" s="9" t="n">
        <f aca="false">IF($B$16="ok",B25-B28,"")</f>
        <v>253792.87518514</v>
      </c>
    </row>
    <row r="30" customFormat="false" ht="15" hidden="false" customHeight="false" outlineLevel="0" collapsed="false">
      <c r="A30" s="0" t="s">
        <v>141</v>
      </c>
      <c r="B30" s="9" t="n">
        <f aca="false">IF($B$16="ok",B28+B29*(1-Inputs!$B$16),"")</f>
        <v>294231.451796554</v>
      </c>
    </row>
    <row r="31" customFormat="false" ht="15" hidden="false" customHeight="false" outlineLevel="0" collapsed="false">
      <c r="A31" s="0" t="s">
        <v>142</v>
      </c>
      <c r="B31" s="9" t="n">
        <f aca="false">IF($B$16="ok",B29*Inputs!$B$16,"")</f>
        <v>25379.287518514</v>
      </c>
    </row>
    <row r="33" customFormat="false" ht="15" hidden="false" customHeight="false" outlineLevel="0" collapsed="false">
      <c r="A33" s="0" t="s">
        <v>143</v>
      </c>
      <c r="B33" s="9" t="n">
        <f aca="false">IF(AND($B$16="ok",B7&gt;0),B25/B7,"")</f>
        <v>6.33947039263466</v>
      </c>
    </row>
    <row r="34" customFormat="false" ht="15" hidden="false" customHeight="false" outlineLevel="0" collapsed="false">
      <c r="A34" s="0" t="s">
        <v>144</v>
      </c>
      <c r="B34" s="9" t="n">
        <f aca="false">IF(AND($B$16="ok",B10&gt;0),B30/B10,"")</f>
        <v>5.89502314073284</v>
      </c>
    </row>
    <row r="35" customFormat="false" ht="15" hidden="false" customHeight="false" outlineLevel="0" collapsed="false">
      <c r="A35" s="0" t="s">
        <v>145</v>
      </c>
      <c r="B35" s="9" t="n">
        <f aca="false">IF(AND($B$16="ok",B11&gt;0),B31/B11,"")</f>
        <v>50.3397483309149</v>
      </c>
    </row>
    <row r="37" customFormat="false" ht="15" hidden="false" customHeight="false" outlineLevel="0" collapsed="false">
      <c r="A37" s="0" t="s">
        <v>146</v>
      </c>
      <c r="B37" s="8" t="n">
        <f aca="false">IF(AND($B$16="ok",B7&gt;0,B25&gt;0),XIRR(C44:C45,$B$44:$B$45,MAX(-0.999999999999999,EXP(LN(B25/B7)/$B$14)-1)),"")</f>
        <v>0.465405016757732</v>
      </c>
    </row>
    <row r="38" customFormat="false" ht="15" hidden="false" customHeight="false" outlineLevel="0" collapsed="false">
      <c r="A38" s="0" t="s">
        <v>147</v>
      </c>
      <c r="B38" s="8" t="n">
        <f aca="false">IF(AND($B$16="ok",B10&gt;0,B30&gt;0),XIRR(D44:D45,$B$44:$B$45,MAX(-0.999999999999999,EXP(LN(B30/B10)/$B$14)-1)),"")</f>
        <v>0.44353014476164</v>
      </c>
    </row>
    <row r="39" customFormat="false" ht="15" hidden="false" customHeight="false" outlineLevel="0" collapsed="false">
      <c r="A39" s="0" t="s">
        <v>148</v>
      </c>
      <c r="B39" s="8" t="n">
        <f aca="false">IF(AND($B$16="ok",B11&gt;0,B31&gt;0),XIRR(E44:E45,$B$44:$B$45,MAX(-0.999999999999999,EXP(LN(B31/B11)/$B$14)-1)),"")</f>
        <v>1.24984601299547</v>
      </c>
    </row>
    <row r="43" customFormat="false" ht="15" hidden="false" customHeight="false" outlineLevel="0" collapsed="false">
      <c r="A43" s="0" t="s">
        <v>149</v>
      </c>
      <c r="B43" s="0" t="s">
        <v>150</v>
      </c>
      <c r="C43" s="0" t="s">
        <v>151</v>
      </c>
      <c r="D43" s="0" t="s">
        <v>152</v>
      </c>
      <c r="E43" s="0" t="s">
        <v>153</v>
      </c>
    </row>
    <row r="44" customFormat="false" ht="15" hidden="false" customHeight="false" outlineLevel="0" collapsed="false">
      <c r="A44" s="0" t="s">
        <v>154</v>
      </c>
      <c r="B44" s="7" t="n">
        <f aca="false">Inputs!$B$7</f>
        <v>44593</v>
      </c>
      <c r="C44" s="9" t="n">
        <f aca="false">-B7</f>
        <v>-50415.9999999999</v>
      </c>
      <c r="D44" s="9" t="n">
        <f aca="false">-B10</f>
        <v>-49911.8399999999</v>
      </c>
      <c r="E44" s="9" t="n">
        <f aca="false">-B11</f>
        <v>-504.159999999999</v>
      </c>
    </row>
    <row r="45" customFormat="false" ht="15" hidden="false" customHeight="false" outlineLevel="0" collapsed="false">
      <c r="A45" s="0" t="s">
        <v>155</v>
      </c>
      <c r="B45" s="7" t="n">
        <f aca="false">B13</f>
        <v>46357</v>
      </c>
      <c r="C45" s="9" t="n">
        <f aca="false">IF($B$16="ok",B25,"")</f>
        <v>319610.739315068</v>
      </c>
      <c r="D45" s="9" t="n">
        <f aca="false">IF($B$16="ok",B30,"")</f>
        <v>294231.451796554</v>
      </c>
      <c r="E45" s="9" t="n">
        <f aca="false">IF($B$16="ok",B31,"")</f>
        <v>25379.287518514</v>
      </c>
    </row>
    <row r="48" customFormat="false" ht="15" hidden="false" customHeight="false" outlineLevel="0" collapsed="false">
      <c r="A48" s="0" t="s">
        <v>156</v>
      </c>
    </row>
    <row r="49" customFormat="false" ht="15" hidden="false" customHeight="false" outlineLevel="0" collapsed="false">
      <c r="A49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2026-10-04T23:51:04Z</dcterms:created>
  <dc:creator>Pierre LBO One</dc:creator>
  <dc:description>Explicit Excel formulas; GBP thousands; ACT/365 interest.</dc:description>
  <dc:language>en-GB</dc:language>
  <cp:lastModifiedBy/>
  <dcterms:modified xsi:type="dcterms:W3CDTF">2026-10-04T23:51:04Z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